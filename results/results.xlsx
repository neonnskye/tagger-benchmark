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PycharmProjects\tagger-benchmark\results\"/>
    </mc:Choice>
  </mc:AlternateContent>
  <xr:revisionPtr revIDLastSave="0" documentId="13_ncr:1_{7ED375FE-369A-40F7-A27D-E8DCC820A5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nchma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1" i="1" l="1"/>
  <c r="E90" i="1"/>
  <c r="E89" i="1"/>
  <c r="E88" i="1"/>
  <c r="E87" i="1"/>
  <c r="E86" i="1"/>
  <c r="E85" i="1"/>
  <c r="E84" i="1"/>
  <c r="E83" i="1"/>
  <c r="E82" i="1"/>
  <c r="E81" i="1"/>
  <c r="G81" i="1" l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1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<sst xmlns="http://schemas.openxmlformats.org/spreadsheetml/2006/main" count="208" uniqueCount="86">
  <si>
    <t>"Mui..♡"</t>
  </si>
  <si>
    <t>fairy aesthetic</t>
  </si>
  <si>
    <t>woman</t>
  </si>
  <si>
    <t>white</t>
  </si>
  <si>
    <t>necklace</t>
  </si>
  <si>
    <t>sheer</t>
  </si>
  <si>
    <t>long hair</t>
  </si>
  <si>
    <t>dress</t>
  </si>
  <si>
    <t>flower</t>
  </si>
  <si>
    <t>jewelry</t>
  </si>
  <si>
    <t>outdoors</t>
  </si>
  <si>
    <t>coquette aesthetic</t>
  </si>
  <si>
    <t>outfit</t>
  </si>
  <si>
    <t>fashion</t>
  </si>
  <si>
    <t>luxury fashion</t>
  </si>
  <si>
    <t>coquette</t>
  </si>
  <si>
    <t>womenswear</t>
  </si>
  <si>
    <t>style</t>
  </si>
  <si>
    <t>maxi dress</t>
  </si>
  <si>
    <t>ootd</t>
  </si>
  <si>
    <t>1girl (0.99), dress (0.97), solo (0.95), black_hair (0.91), head_out_of_frame (0.85), jewelry (0.80), necklace (0.80), long_hair (0.75), bare_shoulders (0.67), outdoors (0.64), see-through (0.62), flower (0.60), plant (0.57), long_sleeves (0.54), standing (0.54), grass (0.50), white_dress (0.47), blue_dress (0.45), off_shoulder (0.42)</t>
  </si>
  <si>
    <t>Gemini 3 Pro</t>
  </si>
  <si>
    <t>Gemini 3 Flash</t>
  </si>
  <si>
    <t>Gemini 2.5 Pro</t>
  </si>
  <si>
    <t>Claude Sonnet 4.5</t>
  </si>
  <si>
    <t>Claude Opus 4.5</t>
  </si>
  <si>
    <t>Grok 4</t>
  </si>
  <si>
    <t>GPT 5</t>
  </si>
  <si>
    <t>GPT 5.2</t>
  </si>
  <si>
    <t>o4 Mini High</t>
  </si>
  <si>
    <t>Deepseek V3.2</t>
  </si>
  <si>
    <t>Deepseek V3 0324</t>
  </si>
  <si>
    <t>"🩶⌨️🎧💿"</t>
  </si>
  <si>
    <t>skirt</t>
  </si>
  <si>
    <t>jacket</t>
  </si>
  <si>
    <t>streetwear</t>
  </si>
  <si>
    <t>black</t>
  </si>
  <si>
    <t>jeans</t>
  </si>
  <si>
    <t>bag</t>
  </si>
  <si>
    <t>standing</t>
  </si>
  <si>
    <t>black footwear</t>
  </si>
  <si>
    <t>y2k aesthetic</t>
  </si>
  <si>
    <t>gray</t>
  </si>
  <si>
    <t>solo (0.96), phone (0.96), 1girl (0.92), holding_phone (0.92), skirt (0.91), holding (0.89), black_footwear (0.89), cellphone (0.87), plant (0.81), standing (0.79), smartphone (0.78), bag (0.74), black_hair (0.74), full_body (0.70), jewelry (0.69), black_skirt (0.67), potted_plant (0.67), black_bag (0.67), boots (0.66), long_sleeves (0.66), earrings (0.62), black_nails (0.60), short_hair (0.60), outdoors (0.57), pants (0.57), jacket (0.53), asian (0.49), closed_mouth (0.47), long_skirt (0.46), jeans (0.43), shirt (0.42), indoors (0.42), hands_up (0.39), nail_polish (0.38), ring (0.38), shoes (0.36), looking_at_viewer (0.36)</t>
  </si>
  <si>
    <t>"Alternative elf"</t>
  </si>
  <si>
    <t>man</t>
  </si>
  <si>
    <t>belted</t>
  </si>
  <si>
    <t>pants</t>
  </si>
  <si>
    <t>belt</t>
  </si>
  <si>
    <t>shirt</t>
  </si>
  <si>
    <t>indoors</t>
  </si>
  <si>
    <t>androgynous</t>
  </si>
  <si>
    <t>sheer blouse</t>
  </si>
  <si>
    <t>menswear</t>
  </si>
  <si>
    <t>head_out_of_frame (0.98), phone (0.96), holding_phone (0.88), solo (0.87), jewelry (0.87), necklace (0.85), cellphone (0.85), holding (0.82), pants (0.71), shirt (0.70), male_focus (0.69), long_sleeves (0.69), 1boy (0.67), smartphone (0.61), indoors (0.57), shirt_tucked_in (0.56), selfie (0.53), belt (0.50), beads (0.44), brown_pants (0.40), puffy_long_sleeves (0.40), see-through (0.38), puffy_sleeves (0.38)</t>
  </si>
  <si>
    <t>"💫"</t>
  </si>
  <si>
    <t>pink</t>
  </si>
  <si>
    <t>long sleeves</t>
  </si>
  <si>
    <t>short hair</t>
  </si>
  <si>
    <t>hairstyle</t>
  </si>
  <si>
    <t>glam girl</t>
  </si>
  <si>
    <t>girly aesthetic</t>
  </si>
  <si>
    <t>1girl (0.96), solo (0.94), phone (0.93), holding (0.87), holding_phone (0.83), cellphone (0.77), selfie (0.75), pants (0.75), short_hair (0.64), white_pants (0.63), long_sleeves (0.62), bag (0.59), black_hair (0.54), indoors (0.51), standing (0.45), smartphone (0.45), sleeves_past_wrists (0.42), pink_sweater (0.42), sweater (0.41), hand_up (0.39), shoulder_bag (0.39), shirt (0.38)</t>
  </si>
  <si>
    <t>"Fashion inspo - crochet maxi skirt"</t>
  </si>
  <si>
    <t>crochet</t>
  </si>
  <si>
    <t>boots</t>
  </si>
  <si>
    <t>1girl (0.97), outdoors (0.87), shirt (0.87), skirt (0.86), solo (0.86), black_footwear (0.80), boots (0.77), sky (0.76), fence (0.74), blonde_hair (0.70), black_shirt (0.66), cloud (0.63), t-shirt (0.62), jewelry (0.56), day (0.55), necklace (0.53), short_sleeves (0.52), blue_sky (0.49), white_skirt (0.46), medium_hair (0.45), from_below (0.45), print_shirt (0.42), see-through (0.41), chain-link_fence (0.35)</t>
  </si>
  <si>
    <t>"death by thrifting"</t>
  </si>
  <si>
    <t>slow fashion</t>
  </si>
  <si>
    <t>shoes</t>
  </si>
  <si>
    <t>vintage aesthetic</t>
  </si>
  <si>
    <t>derby shoes</t>
  </si>
  <si>
    <t>mini skirt</t>
  </si>
  <si>
    <t>turtleneck</t>
  </si>
  <si>
    <t>retro</t>
  </si>
  <si>
    <t>skirt (0.94), solo (0.93), realistic (0.93), jacket (0.90), photorealistic (0.84), 1girl (0.82), outdoors (0.81), socks (0.79), black_hair (0.76), black_footwear (0.73), asian (0.70), white_socks (0.66), short_hair (0.65), shoes (0.65), pleated_skirt (0.65), shirt (0.63), black_skirt (0.63), blue_sky (0.60), shadow (0.59), full_body (0.59), sky (0.58), standing (0.55), day (0.53), yellow_shirt (0.52), long_sleeves (0.46), sweater (0.46), black_jacket (0.40), yellow_sweater (0.38), open_clothes (0.37), open_jacket (0.35), walking (0.35)</t>
  </si>
  <si>
    <t>LLM</t>
  </si>
  <si>
    <t>Score</t>
  </si>
  <si>
    <t>Cost (USD)</t>
  </si>
  <si>
    <t>Cost (LKR)</t>
  </si>
  <si>
    <t>Gold consensus (70% agree)</t>
  </si>
  <si>
    <t>Tag selected only by &lt;=30% and relevant</t>
  </si>
  <si>
    <t>Tag selected only by this model and relevant</t>
  </si>
  <si>
    <t>Missing gold status tag</t>
  </si>
  <si>
    <t>Tag in pool but clearly not relevant</t>
  </si>
  <si>
    <t>Tag not in pool (hallucinated)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</si>
</sst>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Consolas"/>
      <family val="3"/>
    </font>
    <font>
      <b/>
      <sz val="10"/>
      <color theme="1"/>
      <name val="Aptos Narrow"/>
      <family val="2"/>
      <scheme val="minor"/>
    </font>
    <font>
      <b/>
      <sz val="11"/>
      <name val="Aptos Narrow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C00000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44" fontId="1" fillId="0" borderId="0"/>
  </cellStyleXfs>
  <cellXfs count="33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2" xfId="0" applyFont="1" applyBorder="1"/>
    <xf numFmtId="0" fontId="5" fillId="0" borderId="3" xfId="0" applyFont="1" applyBorder="1" applyAlignment="1">
      <alignment horizontal="center" vertical="center"/>
    </xf>
    <xf numFmtId="43" fontId="0" fillId="0" borderId="0" xfId="1" applyFont="1"/>
    <xf numFmtId="0" fontId="0" fillId="4" borderId="1" xfId="0" applyFill="1" applyBorder="1"/>
    <xf numFmtId="0" fontId="0" fillId="3" borderId="1" xfId="0" applyFill="1" applyBorder="1"/>
    <xf numFmtId="0" fontId="0" fillId="2" borderId="1" xfId="0" applyFill="1" applyBorder="1"/>
    <xf numFmtId="0" fontId="0" fillId="5" borderId="1" xfId="0" applyFill="1" applyBorder="1"/>
    <xf numFmtId="0" fontId="0" fillId="6" borderId="1" xfId="0" applyFill="1" applyBorder="1"/>
    <xf numFmtId="0" fontId="3" fillId="0" borderId="0" xfId="0" applyFont="1"/>
    <xf numFmtId="0" fontId="0" fillId="7" borderId="1" xfId="0" applyFill="1" applyBorder="1"/>
    <xf numFmtId="0" fontId="6" fillId="0" borderId="9" xfId="0" applyFont="1" applyBorder="1"/>
    <xf numFmtId="0" fontId="0" fillId="0" borderId="9" xfId="0" applyBorder="1"/>
    <xf numFmtId="0" fontId="0" fillId="8" borderId="9" xfId="0" applyFill="1" applyBorder="1"/>
    <xf numFmtId="0" fontId="0" fillId="9" borderId="9" xfId="0" applyFill="1" applyBorder="1"/>
    <xf numFmtId="0" fontId="0" fillId="10" borderId="9" xfId="0" applyFill="1" applyBorder="1"/>
    <xf numFmtId="0" fontId="0" fillId="11" borderId="9" xfId="0" applyFill="1" applyBorder="1"/>
    <xf numFmtId="164" fontId="0" fillId="0" borderId="0" xfId="2" applyNumberFormat="1" applyFont="1"/>
    <xf numFmtId="0" fontId="0" fillId="12" borderId="0" xfId="0" applyFill="1"/>
    <xf numFmtId="164" fontId="0" fillId="12" borderId="0" xfId="2" applyNumberFormat="1" applyFont="1" applyFill="1"/>
    <xf numFmtId="43" fontId="0" fillId="12" borderId="0" xfId="1" applyFont="1" applyFill="1"/>
    <xf numFmtId="0" fontId="2" fillId="0" borderId="8" xfId="0" applyFont="1" applyBorder="1" applyAlignment="1">
      <alignment horizontal="center"/>
    </xf>
    <xf numFmtId="0" fontId="0" fillId="0" borderId="6" xfId="0" applyBorder="1"/>
    <xf numFmtId="0" fontId="0" fillId="0" borderId="2" xfId="0" applyBorder="1"/>
    <xf numFmtId="0" fontId="4" fillId="0" borderId="5" xfId="0" applyFont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10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</cellXfs>
  <cellStyles count="3">
    <cellStyle name="Comma" xfId="1" builtinId="3"/>
    <cellStyle name="Currency" xfId="2" builtinId="4"/>
    <cellStyle name="Normal" xfId="0" builtinId="0"/>
  </cellStyles>
  <dxfs count="1">
    <dxf>
      <numFmt numFmtId="164" formatCode="_(&quot;$&quot;* #,##0.0000_);_(&quot;$&quot;* \(#,##0.00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714500" cy="2286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1714500" cy="28956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0</xdr:rowOff>
    </xdr:from>
    <xdr:ext cx="1714500" cy="2286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0</xdr:rowOff>
    </xdr:from>
    <xdr:ext cx="1714500" cy="1714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52</xdr:row>
      <xdr:rowOff>0</xdr:rowOff>
    </xdr:from>
    <xdr:ext cx="1714500" cy="3048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1714500" cy="20002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en-US</v>
    <v>avysyc</v>
    <v>268435456</v>
    <v>1</v>
    <v>Powered by Refinitiv</v>
    <v>0</v>
    <v>USD/LKR</v>
    <v>2</v>
    <v>3</v>
    <v>Finance</v>
    <v>4</v>
    <v>309.85000000000002</v>
    <v>291.7</v>
    <v>0</v>
    <v>0</v>
    <v>LKR</v>
    <v>USD</v>
    <v>Currency Pair</v>
    <v>46017.458391203705</v>
    <v>US Dollar/Sri Lanka Rupee FX Spot Rate</v>
    <v>309.55</v>
    <v>309.55</v>
    <v>USDLKR</v>
    <v>USD/LKR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Instrument type" t="s"/>
    <k n="Last trade time"/>
    <k n="Name" t="s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4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2</v>
      <v>2</v>
      <v>3</v>
      <v>2</v>
      <v>2</v>
      <v>2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Name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m/d/yyyy\ h:mm"/>
    </x:dxf>
    <x:dxf>
      <x:numFmt numFmtId="14" formatCode="0.00%"/>
    </x:dxf>
  </dxfs>
  <richProperties>
    <rPr n="IsTitleField" t="b"/>
    <rPr n="NumberFormat" t="s"/>
  </richProperties>
  <richStyles>
    <rSty>
      <rpv i="0">1</rpv>
    </rSty>
    <rSty dxfid="1">
      <rpv i="1">_-[$Rs.-ta-LK]* #,##0.00_-;-[$Rs.-ta-LK]* #,##0.00_-;_-[$Rs.-ta-LK]* "-"??_-;_-@_-</rpv>
    </rSty>
    <rSty dxfid="3"/>
    <rSty dxfid="2"/>
    <rSty dxfid="0">
      <rpv i="1">0.00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D80:G91" totalsRowShown="0">
  <autoFilter ref="D80:G91" xr:uid="{00000000-0009-0000-0100-000001000000}"/>
  <tableColumns count="4">
    <tableColumn id="1" xr3:uid="{00000000-0010-0000-0000-000001000000}" name="LLM"/>
    <tableColumn id="2" xr3:uid="{00000000-0010-0000-0000-000002000000}" name="Score">
      <calculatedColumnFormula>SUM(E2:X2)+SUM(E15:X15)+SUM(E28:X28)+SUM(E41:X41)+SUM(E54:X54)+SUM(E67:X67)</calculatedColumnFormula>
    </tableColumn>
    <tableColumn id="3" xr3:uid="{00000000-0010-0000-0000-000003000000}" name="Cost (USD)" dataDxfId="0" dataCellStyle="Currency"/>
    <tableColumn id="4" xr3:uid="{00000000-0010-0000-0000-000004000000}" name="Cost (LKR)" dataCellStyle="Comma">
      <calculatedColumnFormula array="1">Table1[[#This Row],[Cost (USD)]]*_FV($I$88,"Price")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91"/>
  <sheetViews>
    <sheetView tabSelected="1" topLeftCell="A69" zoomScaleNormal="100" workbookViewId="0">
      <selection activeCell="N76" sqref="N76"/>
    </sheetView>
  </sheetViews>
  <sheetFormatPr defaultRowHeight="14.4" x14ac:dyDescent="0.3"/>
  <cols>
    <col min="1" max="1" width="40.77734375" customWidth="1"/>
    <col min="2" max="2" width="25.77734375" customWidth="1"/>
    <col min="3" max="3" width="5.77734375" customWidth="1"/>
    <col min="4" max="4" width="16.109375" bestFit="1" customWidth="1"/>
    <col min="5" max="5" width="10.77734375" customWidth="1"/>
    <col min="6" max="6" width="12.21875" bestFit="1" customWidth="1"/>
    <col min="7" max="7" width="11.77734375" bestFit="1" customWidth="1"/>
    <col min="8" max="24" width="10.77734375" customWidth="1"/>
  </cols>
  <sheetData>
    <row r="1" spans="1:23" ht="15" customHeight="1" x14ac:dyDescent="0.3">
      <c r="A1" s="4" t="s">
        <v>0</v>
      </c>
      <c r="B1" s="23"/>
      <c r="C1" s="2"/>
      <c r="D1" s="3"/>
      <c r="E1" s="13" t="s">
        <v>1</v>
      </c>
      <c r="F1" s="13" t="s">
        <v>2</v>
      </c>
      <c r="G1" s="13" t="s">
        <v>3</v>
      </c>
      <c r="H1" s="13" t="s">
        <v>4</v>
      </c>
      <c r="I1" s="13" t="s">
        <v>5</v>
      </c>
      <c r="J1" s="13" t="s">
        <v>6</v>
      </c>
      <c r="K1" s="13" t="s">
        <v>7</v>
      </c>
      <c r="L1" s="13" t="s">
        <v>8</v>
      </c>
      <c r="M1" s="13" t="s">
        <v>9</v>
      </c>
      <c r="N1" s="13" t="s">
        <v>10</v>
      </c>
      <c r="O1" s="13" t="s">
        <v>11</v>
      </c>
      <c r="P1" s="13" t="s">
        <v>12</v>
      </c>
      <c r="Q1" s="13" t="s">
        <v>13</v>
      </c>
      <c r="R1" s="13" t="s">
        <v>14</v>
      </c>
      <c r="S1" s="13" t="s">
        <v>15</v>
      </c>
      <c r="T1" s="13" t="s">
        <v>16</v>
      </c>
      <c r="U1" s="13" t="s">
        <v>17</v>
      </c>
      <c r="V1" s="13" t="s">
        <v>18</v>
      </c>
      <c r="W1" s="13" t="s">
        <v>19</v>
      </c>
    </row>
    <row r="2" spans="1:23" ht="15" customHeight="1" x14ac:dyDescent="0.3">
      <c r="A2" s="26" t="s">
        <v>20</v>
      </c>
      <c r="B2" s="24"/>
      <c r="C2" s="1"/>
      <c r="D2" s="2" t="s">
        <v>21</v>
      </c>
      <c r="E2" s="14"/>
      <c r="F2" s="15"/>
      <c r="G2" s="14"/>
      <c r="H2" s="16">
        <v>1</v>
      </c>
      <c r="I2" s="16">
        <v>1</v>
      </c>
      <c r="J2" s="17">
        <v>-0.5</v>
      </c>
      <c r="K2" s="14"/>
      <c r="L2" s="14"/>
      <c r="M2" s="14"/>
      <c r="N2" s="14"/>
      <c r="O2" s="14"/>
      <c r="P2" s="14"/>
      <c r="Q2" s="15"/>
      <c r="R2" s="7">
        <v>0.5</v>
      </c>
      <c r="S2" s="7">
        <v>0.5</v>
      </c>
      <c r="T2" s="14"/>
      <c r="U2" s="14"/>
      <c r="V2" s="14"/>
      <c r="W2" s="14"/>
    </row>
    <row r="3" spans="1:23" ht="15" customHeight="1" x14ac:dyDescent="0.3">
      <c r="A3" s="27"/>
      <c r="B3" s="24"/>
      <c r="C3" s="1"/>
      <c r="D3" s="2" t="s">
        <v>22</v>
      </c>
      <c r="E3" s="14"/>
      <c r="F3" s="15"/>
      <c r="G3" s="15"/>
      <c r="H3" s="16">
        <v>1</v>
      </c>
      <c r="I3" s="16">
        <v>1</v>
      </c>
      <c r="J3" s="16">
        <v>1</v>
      </c>
      <c r="K3" s="14"/>
      <c r="L3" s="14"/>
      <c r="M3" s="14"/>
      <c r="N3" s="14"/>
      <c r="O3" s="14"/>
      <c r="P3" s="14"/>
      <c r="Q3" s="15"/>
      <c r="R3" s="14"/>
      <c r="S3" s="14"/>
      <c r="T3" s="14"/>
      <c r="U3" s="14"/>
      <c r="V3" s="14"/>
      <c r="W3" s="14"/>
    </row>
    <row r="4" spans="1:23" ht="15" customHeight="1" x14ac:dyDescent="0.3">
      <c r="A4" s="27"/>
      <c r="B4" s="24"/>
      <c r="C4" s="1"/>
      <c r="D4" s="2" t="s">
        <v>23</v>
      </c>
      <c r="E4" s="6">
        <v>0.5</v>
      </c>
      <c r="F4" s="15"/>
      <c r="G4" s="14"/>
      <c r="H4" s="16">
        <v>1</v>
      </c>
      <c r="I4" s="16">
        <v>1</v>
      </c>
      <c r="J4" s="16">
        <v>1</v>
      </c>
      <c r="K4" s="14"/>
      <c r="L4" s="14"/>
      <c r="M4" s="14"/>
      <c r="N4" s="14"/>
      <c r="O4" s="14"/>
      <c r="P4" s="15"/>
      <c r="Q4" s="14"/>
      <c r="R4" s="14"/>
      <c r="S4" s="14"/>
      <c r="T4" s="14"/>
      <c r="U4" s="14"/>
      <c r="V4" s="14"/>
      <c r="W4" s="14"/>
    </row>
    <row r="5" spans="1:23" ht="15" customHeight="1" x14ac:dyDescent="0.3">
      <c r="A5" s="27"/>
      <c r="B5" s="24"/>
      <c r="C5" s="1"/>
      <c r="D5" s="2" t="s">
        <v>24</v>
      </c>
      <c r="E5" s="14"/>
      <c r="F5" s="14"/>
      <c r="G5" s="15"/>
      <c r="H5" s="16">
        <v>1</v>
      </c>
      <c r="I5" s="16">
        <v>1</v>
      </c>
      <c r="J5" s="16">
        <v>1</v>
      </c>
      <c r="K5" s="18">
        <v>-1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 spans="1:23" ht="15" customHeight="1" x14ac:dyDescent="0.3">
      <c r="A6" s="27"/>
      <c r="B6" s="24"/>
      <c r="C6" s="1"/>
      <c r="D6" s="2" t="s">
        <v>25</v>
      </c>
      <c r="E6" s="6">
        <v>0.5</v>
      </c>
      <c r="F6" s="15"/>
      <c r="G6" s="15"/>
      <c r="H6" s="16">
        <v>1</v>
      </c>
      <c r="I6" s="16">
        <v>1</v>
      </c>
      <c r="J6" s="16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1:23" ht="15" customHeight="1" x14ac:dyDescent="0.3">
      <c r="A7" s="27"/>
      <c r="B7" s="24"/>
      <c r="C7" s="1"/>
      <c r="D7" s="2" t="s">
        <v>26</v>
      </c>
      <c r="E7" s="14"/>
      <c r="F7" s="14"/>
      <c r="G7" s="15"/>
      <c r="H7" s="16">
        <v>1</v>
      </c>
      <c r="I7" s="16">
        <v>1</v>
      </c>
      <c r="J7" s="16">
        <v>1</v>
      </c>
      <c r="K7" s="14"/>
      <c r="L7" s="14"/>
      <c r="M7" s="14"/>
      <c r="N7" s="14"/>
      <c r="O7" s="14"/>
      <c r="P7" s="15"/>
      <c r="Q7" s="15"/>
      <c r="R7" s="14"/>
      <c r="S7" s="14"/>
      <c r="T7" s="14"/>
      <c r="U7" s="14"/>
      <c r="V7" s="14"/>
      <c r="W7" s="14"/>
    </row>
    <row r="8" spans="1:23" ht="15" customHeight="1" x14ac:dyDescent="0.3">
      <c r="A8" s="27"/>
      <c r="B8" s="24"/>
      <c r="C8" s="1"/>
      <c r="D8" s="2" t="s">
        <v>27</v>
      </c>
      <c r="E8" s="14"/>
      <c r="F8" s="14"/>
      <c r="G8" s="14"/>
      <c r="H8" s="16">
        <v>1</v>
      </c>
      <c r="I8" s="16">
        <v>1</v>
      </c>
      <c r="J8" s="16">
        <v>1</v>
      </c>
      <c r="K8" s="14"/>
      <c r="L8" s="14"/>
      <c r="M8" s="14"/>
      <c r="N8" s="14"/>
      <c r="O8" s="14"/>
      <c r="P8" s="14"/>
      <c r="Q8" s="15"/>
      <c r="R8" s="14"/>
      <c r="S8" s="14"/>
      <c r="T8" s="6">
        <v>0.5</v>
      </c>
      <c r="U8" s="7">
        <v>0.5</v>
      </c>
      <c r="V8" s="14"/>
      <c r="W8" s="14"/>
    </row>
    <row r="9" spans="1:23" ht="15" customHeight="1" x14ac:dyDescent="0.3">
      <c r="A9" s="27"/>
      <c r="B9" s="24"/>
      <c r="C9" s="1"/>
      <c r="D9" s="2" t="s">
        <v>28</v>
      </c>
      <c r="E9" s="14"/>
      <c r="F9" s="14"/>
      <c r="G9" s="15"/>
      <c r="H9" s="16">
        <v>1</v>
      </c>
      <c r="I9" s="16">
        <v>1</v>
      </c>
      <c r="J9" s="17">
        <v>-0.5</v>
      </c>
      <c r="K9" s="14"/>
      <c r="L9" s="14"/>
      <c r="M9" s="14"/>
      <c r="N9" s="14"/>
      <c r="O9" s="14"/>
      <c r="P9" s="15"/>
      <c r="Q9" s="15"/>
      <c r="R9" s="14"/>
      <c r="S9" s="14"/>
      <c r="T9" s="6">
        <v>0.5</v>
      </c>
      <c r="U9" s="14"/>
      <c r="V9" s="14"/>
      <c r="W9" s="14"/>
    </row>
    <row r="10" spans="1:23" ht="15" customHeight="1" x14ac:dyDescent="0.3">
      <c r="A10" s="27"/>
      <c r="B10" s="24"/>
      <c r="C10" s="1"/>
      <c r="D10" s="2" t="s">
        <v>29</v>
      </c>
      <c r="E10" s="14"/>
      <c r="F10" s="14"/>
      <c r="G10" s="15"/>
      <c r="H10" s="16">
        <v>1</v>
      </c>
      <c r="I10" s="16">
        <v>1</v>
      </c>
      <c r="J10" s="16">
        <v>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7">
        <v>0.5</v>
      </c>
      <c r="W10" s="7">
        <v>0.5</v>
      </c>
    </row>
    <row r="11" spans="1:23" ht="15" customHeight="1" x14ac:dyDescent="0.3">
      <c r="A11" s="27"/>
      <c r="B11" s="24"/>
      <c r="C11" s="1"/>
      <c r="D11" s="2" t="s">
        <v>30</v>
      </c>
      <c r="E11" s="14"/>
      <c r="F11" s="15"/>
      <c r="G11" s="14"/>
      <c r="H11" s="16">
        <v>1</v>
      </c>
      <c r="I11" s="16">
        <v>1</v>
      </c>
      <c r="J11" s="16">
        <v>1</v>
      </c>
      <c r="K11" s="14"/>
      <c r="L11" s="14"/>
      <c r="M11" s="14"/>
      <c r="N11" s="14"/>
      <c r="O11" s="7">
        <v>0.5</v>
      </c>
      <c r="P11" s="15"/>
      <c r="Q11" s="14"/>
      <c r="R11" s="14"/>
      <c r="S11" s="14"/>
      <c r="T11" s="14"/>
      <c r="U11" s="14"/>
      <c r="V11" s="14"/>
      <c r="W11" s="14"/>
    </row>
    <row r="12" spans="1:23" ht="15" hidden="1" customHeight="1" x14ac:dyDescent="0.3">
      <c r="A12" s="28"/>
      <c r="B12" s="25"/>
      <c r="C12" s="1"/>
      <c r="D12" s="2" t="s">
        <v>31</v>
      </c>
      <c r="E12" s="14"/>
      <c r="F12" s="14"/>
      <c r="G12" s="14"/>
      <c r="H12" s="16">
        <v>1</v>
      </c>
      <c r="I12" s="17">
        <v>-0.5</v>
      </c>
      <c r="J12" s="16">
        <v>1</v>
      </c>
      <c r="K12" s="18">
        <v>-1</v>
      </c>
      <c r="L12" s="18">
        <v>-1</v>
      </c>
      <c r="M12" s="18">
        <v>-1</v>
      </c>
      <c r="N12" s="18">
        <v>-1</v>
      </c>
      <c r="O12" s="14"/>
      <c r="P12" s="14"/>
      <c r="Q12" s="14"/>
      <c r="R12" s="14"/>
      <c r="S12" s="14"/>
      <c r="T12" s="14"/>
      <c r="U12" s="14"/>
      <c r="V12" s="14"/>
      <c r="W12" s="14"/>
    </row>
    <row r="13" spans="1:23" ht="15" customHeight="1" x14ac:dyDescent="0.3"/>
    <row r="14" spans="1:23" ht="15" customHeight="1" x14ac:dyDescent="0.3">
      <c r="A14" s="4" t="s">
        <v>32</v>
      </c>
      <c r="B14" s="23"/>
      <c r="C14" s="2"/>
      <c r="D14" s="3"/>
      <c r="E14" s="13" t="s">
        <v>33</v>
      </c>
      <c r="F14" s="13" t="s">
        <v>34</v>
      </c>
      <c r="G14" s="13" t="s">
        <v>2</v>
      </c>
      <c r="H14" s="13" t="s">
        <v>35</v>
      </c>
      <c r="I14" s="13" t="s">
        <v>17</v>
      </c>
      <c r="J14" s="13" t="s">
        <v>36</v>
      </c>
      <c r="K14" s="13" t="s">
        <v>37</v>
      </c>
      <c r="L14" s="13" t="s">
        <v>12</v>
      </c>
      <c r="M14" s="13" t="s">
        <v>4</v>
      </c>
      <c r="N14" s="13" t="s">
        <v>38</v>
      </c>
      <c r="O14" s="13" t="s">
        <v>10</v>
      </c>
      <c r="P14" s="13" t="s">
        <v>39</v>
      </c>
      <c r="Q14" s="13" t="s">
        <v>9</v>
      </c>
      <c r="R14" s="13" t="s">
        <v>40</v>
      </c>
      <c r="S14" s="13" t="s">
        <v>13</v>
      </c>
      <c r="T14" s="13" t="s">
        <v>41</v>
      </c>
      <c r="U14" s="13" t="s">
        <v>19</v>
      </c>
      <c r="V14" s="13" t="s">
        <v>42</v>
      </c>
      <c r="W14" s="13" t="s">
        <v>16</v>
      </c>
    </row>
    <row r="15" spans="1:23" ht="15" customHeight="1" x14ac:dyDescent="0.3">
      <c r="A15" s="26" t="s">
        <v>43</v>
      </c>
      <c r="B15" s="24"/>
      <c r="C15" s="1"/>
      <c r="D15" s="2" t="s">
        <v>21</v>
      </c>
      <c r="E15" s="16">
        <v>1</v>
      </c>
      <c r="F15" s="16">
        <v>1</v>
      </c>
      <c r="G15" s="15"/>
      <c r="H15" s="14"/>
      <c r="I15" s="14"/>
      <c r="J15" s="16">
        <v>1</v>
      </c>
      <c r="K15" s="14"/>
      <c r="L15" s="14"/>
      <c r="M15" s="14"/>
      <c r="N15" s="14"/>
      <c r="O15" s="14"/>
      <c r="P15" s="14"/>
      <c r="Q15" s="14"/>
      <c r="R15" s="14"/>
      <c r="S15" s="14"/>
      <c r="T15" s="6">
        <v>0.5</v>
      </c>
      <c r="U15" s="14"/>
      <c r="V15" s="6">
        <v>0.5</v>
      </c>
      <c r="W15" s="14"/>
    </row>
    <row r="16" spans="1:23" ht="15" customHeight="1" x14ac:dyDescent="0.3">
      <c r="A16" s="27"/>
      <c r="B16" s="24"/>
      <c r="C16" s="1"/>
      <c r="D16" s="2" t="s">
        <v>22</v>
      </c>
      <c r="E16" s="16">
        <v>1</v>
      </c>
      <c r="F16" s="16">
        <v>1</v>
      </c>
      <c r="G16" s="14"/>
      <c r="H16" s="14"/>
      <c r="I16" s="6">
        <v>0.5</v>
      </c>
      <c r="J16" s="16">
        <v>1</v>
      </c>
      <c r="K16" s="14"/>
      <c r="L16" s="14"/>
      <c r="M16" s="14"/>
      <c r="N16" s="14"/>
      <c r="O16" s="14"/>
      <c r="P16" s="14"/>
      <c r="Q16" s="14"/>
      <c r="R16" s="14"/>
      <c r="S16" s="15"/>
      <c r="T16" s="14"/>
      <c r="U16" s="14"/>
      <c r="V16" s="6">
        <v>0.5</v>
      </c>
      <c r="W16" s="14"/>
    </row>
    <row r="17" spans="1:23" ht="15" customHeight="1" x14ac:dyDescent="0.3">
      <c r="A17" s="27"/>
      <c r="B17" s="24"/>
      <c r="C17" s="1"/>
      <c r="D17" s="2" t="s">
        <v>23</v>
      </c>
      <c r="E17" s="16">
        <v>1</v>
      </c>
      <c r="F17" s="16">
        <v>1</v>
      </c>
      <c r="G17" s="15"/>
      <c r="H17" s="14"/>
      <c r="I17" s="14"/>
      <c r="J17" s="16">
        <v>1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6">
        <v>0.5</v>
      </c>
      <c r="V17" s="6">
        <v>0.5</v>
      </c>
      <c r="W17" s="14"/>
    </row>
    <row r="18" spans="1:23" ht="15" customHeight="1" x14ac:dyDescent="0.3">
      <c r="A18" s="27"/>
      <c r="B18" s="24"/>
      <c r="C18" s="1"/>
      <c r="D18" s="2" t="s">
        <v>24</v>
      </c>
      <c r="E18" s="16">
        <v>1</v>
      </c>
      <c r="F18" s="17">
        <v>-0.5</v>
      </c>
      <c r="G18" s="14"/>
      <c r="H18" s="14"/>
      <c r="I18" s="14"/>
      <c r="J18" s="16">
        <v>1</v>
      </c>
      <c r="K18" s="6">
        <v>0.5</v>
      </c>
      <c r="L18" s="6">
        <v>0.5</v>
      </c>
      <c r="M18" s="9">
        <v>-0.5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1:23" ht="15" customHeight="1" x14ac:dyDescent="0.3">
      <c r="A19" s="27"/>
      <c r="B19" s="24"/>
      <c r="C19" s="1"/>
      <c r="D19" s="2" t="s">
        <v>25</v>
      </c>
      <c r="E19" s="16">
        <v>1</v>
      </c>
      <c r="F19" s="16">
        <v>1</v>
      </c>
      <c r="G19" s="15"/>
      <c r="H19" s="7">
        <v>0.5</v>
      </c>
      <c r="I19" s="6">
        <v>0.5</v>
      </c>
      <c r="J19" s="16">
        <v>1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1:23" ht="15" customHeight="1" x14ac:dyDescent="0.3">
      <c r="A20" s="27"/>
      <c r="B20" s="24"/>
      <c r="C20" s="1"/>
      <c r="D20" s="2" t="s">
        <v>26</v>
      </c>
      <c r="E20" s="16">
        <v>1</v>
      </c>
      <c r="F20" s="16">
        <v>1</v>
      </c>
      <c r="G20" s="14"/>
      <c r="H20" s="14"/>
      <c r="I20" s="14"/>
      <c r="J20" s="16">
        <v>1</v>
      </c>
      <c r="K20" s="6">
        <v>0.5</v>
      </c>
      <c r="L20" s="14"/>
      <c r="M20" s="14"/>
      <c r="N20" s="14"/>
      <c r="O20" s="14"/>
      <c r="P20" s="14"/>
      <c r="Q20" s="14"/>
      <c r="R20" s="14"/>
      <c r="S20" s="15"/>
      <c r="T20" s="6">
        <v>0.5</v>
      </c>
      <c r="U20" s="14"/>
      <c r="V20" s="14"/>
      <c r="W20" s="14"/>
    </row>
    <row r="21" spans="1:23" ht="15" customHeight="1" x14ac:dyDescent="0.3">
      <c r="A21" s="27"/>
      <c r="B21" s="24"/>
      <c r="C21" s="1"/>
      <c r="D21" s="2" t="s">
        <v>27</v>
      </c>
      <c r="E21" s="16">
        <v>1</v>
      </c>
      <c r="F21" s="16">
        <v>1</v>
      </c>
      <c r="G21" s="14"/>
      <c r="H21" s="14"/>
      <c r="I21" s="14"/>
      <c r="J21" s="16">
        <v>1</v>
      </c>
      <c r="K21" s="14"/>
      <c r="L21" s="14"/>
      <c r="M21" s="9">
        <v>-0.5</v>
      </c>
      <c r="N21" s="14"/>
      <c r="O21" s="14"/>
      <c r="P21" s="14"/>
      <c r="Q21" s="14"/>
      <c r="R21" s="14"/>
      <c r="S21" s="15"/>
      <c r="T21" s="14"/>
      <c r="U21" s="14"/>
      <c r="V21" s="14"/>
      <c r="W21" s="9">
        <v>-0.5</v>
      </c>
    </row>
    <row r="22" spans="1:23" ht="15" customHeight="1" x14ac:dyDescent="0.3">
      <c r="A22" s="27"/>
      <c r="B22" s="24"/>
      <c r="C22" s="1"/>
      <c r="D22" s="2" t="s">
        <v>28</v>
      </c>
      <c r="E22" s="16">
        <v>1</v>
      </c>
      <c r="F22" s="16">
        <v>1</v>
      </c>
      <c r="G22" s="14"/>
      <c r="H22" s="14"/>
      <c r="I22" s="14"/>
      <c r="J22" s="16">
        <v>1</v>
      </c>
      <c r="K22" s="14"/>
      <c r="L22" s="6">
        <v>0.5</v>
      </c>
      <c r="M22" s="14"/>
      <c r="N22" s="14"/>
      <c r="O22" s="14"/>
      <c r="P22" s="14"/>
      <c r="Q22" s="14"/>
      <c r="R22" s="14"/>
      <c r="S22" s="14"/>
      <c r="T22" s="14"/>
      <c r="U22" s="6">
        <v>0.5</v>
      </c>
      <c r="V22" s="14"/>
      <c r="W22" s="9">
        <v>-0.5</v>
      </c>
    </row>
    <row r="23" spans="1:23" ht="15" customHeight="1" x14ac:dyDescent="0.3">
      <c r="A23" s="27"/>
      <c r="B23" s="24"/>
      <c r="C23" s="1"/>
      <c r="D23" s="2" t="s">
        <v>29</v>
      </c>
      <c r="E23" s="16">
        <v>1</v>
      </c>
      <c r="F23" s="16">
        <v>1</v>
      </c>
      <c r="G23" s="14"/>
      <c r="H23" s="14"/>
      <c r="I23" s="14"/>
      <c r="J23" s="16">
        <v>1</v>
      </c>
      <c r="K23" s="14"/>
      <c r="L23" s="14"/>
      <c r="M23" s="14"/>
      <c r="N23" s="14"/>
      <c r="O23" s="14"/>
      <c r="P23" s="14"/>
      <c r="Q23" s="14"/>
      <c r="R23" s="14"/>
      <c r="S23" s="15"/>
      <c r="T23" s="14"/>
      <c r="U23" s="6">
        <v>0.5</v>
      </c>
      <c r="V23" s="14"/>
      <c r="W23" s="9">
        <v>-0.5</v>
      </c>
    </row>
    <row r="24" spans="1:23" ht="15" customHeight="1" x14ac:dyDescent="0.3">
      <c r="A24" s="27"/>
      <c r="B24" s="24"/>
      <c r="C24" s="1"/>
      <c r="D24" s="2" t="s">
        <v>30</v>
      </c>
      <c r="E24" s="16">
        <v>1</v>
      </c>
      <c r="F24" s="16">
        <v>1</v>
      </c>
      <c r="G24" s="15"/>
      <c r="H24" s="14"/>
      <c r="I24" s="14"/>
      <c r="J24" s="16">
        <v>1</v>
      </c>
      <c r="K24" s="14"/>
      <c r="L24" s="14"/>
      <c r="M24" s="14"/>
      <c r="N24" s="14"/>
      <c r="O24" s="14"/>
      <c r="P24" s="14"/>
      <c r="Q24" s="14"/>
      <c r="R24" s="14"/>
      <c r="S24" s="15"/>
      <c r="T24" s="6">
        <v>0.5</v>
      </c>
      <c r="U24" s="14"/>
      <c r="V24" s="14"/>
      <c r="W24" s="14"/>
    </row>
    <row r="25" spans="1:23" ht="15" hidden="1" customHeight="1" x14ac:dyDescent="0.3">
      <c r="A25" s="28"/>
      <c r="B25" s="25"/>
      <c r="C25" s="1"/>
      <c r="D25" s="2" t="s">
        <v>31</v>
      </c>
      <c r="E25" s="16">
        <v>1</v>
      </c>
      <c r="F25" s="17">
        <v>-0.5</v>
      </c>
      <c r="G25" s="14"/>
      <c r="H25" s="14"/>
      <c r="I25" s="14"/>
      <c r="J25" s="17">
        <v>-0.5</v>
      </c>
      <c r="K25" s="14"/>
      <c r="L25" s="14"/>
      <c r="M25" s="14"/>
      <c r="N25" s="18">
        <v>-1</v>
      </c>
      <c r="O25" s="18">
        <v>-1</v>
      </c>
      <c r="P25" s="18">
        <v>-1</v>
      </c>
      <c r="Q25" s="18">
        <v>-1</v>
      </c>
      <c r="R25" s="18">
        <v>-1</v>
      </c>
      <c r="S25" s="14"/>
      <c r="T25" s="14"/>
      <c r="U25" s="14"/>
      <c r="V25" s="14"/>
      <c r="W25" s="14"/>
    </row>
    <row r="26" spans="1:23" ht="15" customHeight="1" x14ac:dyDescent="0.3"/>
    <row r="27" spans="1:23" ht="15" customHeight="1" x14ac:dyDescent="0.3">
      <c r="A27" s="4" t="s">
        <v>44</v>
      </c>
      <c r="B27" s="23"/>
      <c r="C27" s="2"/>
      <c r="D27" s="3"/>
      <c r="E27" s="13" t="s">
        <v>45</v>
      </c>
      <c r="F27" s="13" t="s">
        <v>13</v>
      </c>
      <c r="G27" s="13" t="s">
        <v>46</v>
      </c>
      <c r="H27" s="13" t="s">
        <v>4</v>
      </c>
      <c r="I27" s="13" t="s">
        <v>17</v>
      </c>
      <c r="J27" s="13" t="s">
        <v>47</v>
      </c>
      <c r="K27" s="13" t="s">
        <v>5</v>
      </c>
      <c r="L27" s="13" t="s">
        <v>48</v>
      </c>
      <c r="M27" s="13" t="s">
        <v>9</v>
      </c>
      <c r="N27" s="13" t="s">
        <v>49</v>
      </c>
      <c r="O27" s="13" t="s">
        <v>50</v>
      </c>
      <c r="P27" s="13" t="s">
        <v>51</v>
      </c>
      <c r="Q27" s="13" t="s">
        <v>1</v>
      </c>
      <c r="R27" s="13" t="s">
        <v>52</v>
      </c>
      <c r="S27" s="13" t="s">
        <v>53</v>
      </c>
      <c r="T27" s="13" t="s">
        <v>12</v>
      </c>
      <c r="U27" s="13" t="s">
        <v>6</v>
      </c>
      <c r="V27" s="13" t="s">
        <v>19</v>
      </c>
    </row>
    <row r="28" spans="1:23" ht="15" customHeight="1" x14ac:dyDescent="0.3">
      <c r="A28" s="26" t="s">
        <v>54</v>
      </c>
      <c r="B28" s="24"/>
      <c r="C28" s="1"/>
      <c r="D28" s="2" t="s">
        <v>21</v>
      </c>
      <c r="E28" s="15"/>
      <c r="F28" s="14"/>
      <c r="G28" s="14"/>
      <c r="H28" s="16">
        <v>1</v>
      </c>
      <c r="I28" s="14"/>
      <c r="J28" s="16">
        <v>1</v>
      </c>
      <c r="K28" s="14"/>
      <c r="L28" s="14"/>
      <c r="M28" s="14"/>
      <c r="N28" s="14"/>
      <c r="O28" s="14"/>
      <c r="P28" s="14"/>
      <c r="Q28" s="15"/>
      <c r="R28" s="14"/>
      <c r="S28" s="15"/>
      <c r="T28" s="14"/>
      <c r="U28" s="14"/>
      <c r="V28" s="14"/>
    </row>
    <row r="29" spans="1:23" ht="15" customHeight="1" x14ac:dyDescent="0.3">
      <c r="A29" s="27"/>
      <c r="B29" s="24"/>
      <c r="C29" s="1"/>
      <c r="D29" s="2" t="s">
        <v>22</v>
      </c>
      <c r="E29" s="14"/>
      <c r="F29" s="14"/>
      <c r="G29" s="14"/>
      <c r="H29" s="16">
        <v>1</v>
      </c>
      <c r="I29" s="14"/>
      <c r="J29" s="16">
        <v>1</v>
      </c>
      <c r="K29" s="14"/>
      <c r="L29" s="14"/>
      <c r="M29" s="14"/>
      <c r="N29" s="14"/>
      <c r="O29" s="14"/>
      <c r="P29" s="14"/>
      <c r="Q29" s="14"/>
      <c r="R29" s="14"/>
      <c r="S29" s="15"/>
      <c r="T29" s="6">
        <v>0.5</v>
      </c>
      <c r="U29" s="9">
        <v>-0.5</v>
      </c>
      <c r="V29" s="14"/>
    </row>
    <row r="30" spans="1:23" ht="15" customHeight="1" x14ac:dyDescent="0.3">
      <c r="A30" s="27"/>
      <c r="B30" s="24"/>
      <c r="C30" s="1"/>
      <c r="D30" s="2" t="s">
        <v>23</v>
      </c>
      <c r="E30" s="15"/>
      <c r="F30" s="14"/>
      <c r="G30" s="15"/>
      <c r="H30" s="16">
        <v>1</v>
      </c>
      <c r="I30" s="14"/>
      <c r="J30" s="16">
        <v>1</v>
      </c>
      <c r="K30" s="14"/>
      <c r="L30" s="14"/>
      <c r="M30" s="14"/>
      <c r="N30" s="14"/>
      <c r="O30" s="14"/>
      <c r="P30" s="14"/>
      <c r="Q30" s="15"/>
      <c r="R30" s="7">
        <v>0.5</v>
      </c>
      <c r="S30" s="14"/>
      <c r="T30" s="14"/>
      <c r="U30" s="14"/>
      <c r="V30" s="14"/>
    </row>
    <row r="31" spans="1:23" ht="15" customHeight="1" x14ac:dyDescent="0.3">
      <c r="A31" s="27"/>
      <c r="B31" s="24"/>
      <c r="C31" s="1"/>
      <c r="D31" s="2" t="s">
        <v>24</v>
      </c>
      <c r="E31" s="15"/>
      <c r="F31" s="14"/>
      <c r="G31" s="14"/>
      <c r="H31" s="16">
        <v>1</v>
      </c>
      <c r="I31" s="6">
        <v>0.5</v>
      </c>
      <c r="J31" s="16">
        <v>1</v>
      </c>
      <c r="K31" s="6">
        <v>0.5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3" ht="15" customHeight="1" x14ac:dyDescent="0.3">
      <c r="A32" s="27"/>
      <c r="B32" s="24"/>
      <c r="C32" s="1"/>
      <c r="D32" s="2" t="s">
        <v>25</v>
      </c>
      <c r="E32" s="15"/>
      <c r="F32" s="15"/>
      <c r="G32" s="15"/>
      <c r="H32" s="16">
        <v>1</v>
      </c>
      <c r="I32" s="6">
        <v>0.5</v>
      </c>
      <c r="J32" s="16">
        <v>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ht="15" customHeight="1" x14ac:dyDescent="0.3">
      <c r="A33" s="27"/>
      <c r="B33" s="24"/>
      <c r="C33" s="1"/>
      <c r="D33" s="2" t="s">
        <v>26</v>
      </c>
      <c r="E33" s="15"/>
      <c r="F33" s="15"/>
      <c r="G33" s="15"/>
      <c r="H33" s="16">
        <v>1</v>
      </c>
      <c r="I33" s="14"/>
      <c r="J33" s="16">
        <v>1</v>
      </c>
      <c r="K33" s="14"/>
      <c r="L33" s="14"/>
      <c r="M33" s="14"/>
      <c r="N33" s="14"/>
      <c r="O33" s="14"/>
      <c r="P33" s="14"/>
      <c r="Q33" s="15"/>
      <c r="R33" s="14"/>
      <c r="S33" s="14"/>
      <c r="T33" s="14"/>
      <c r="U33" s="14"/>
      <c r="V33" s="14"/>
    </row>
    <row r="34" spans="1:22" ht="15" customHeight="1" x14ac:dyDescent="0.3">
      <c r="A34" s="27"/>
      <c r="B34" s="24"/>
      <c r="C34" s="1"/>
      <c r="D34" s="2" t="s">
        <v>27</v>
      </c>
      <c r="E34" s="14"/>
      <c r="F34" s="15"/>
      <c r="G34" s="15"/>
      <c r="H34" s="16">
        <v>1</v>
      </c>
      <c r="I34" s="14"/>
      <c r="J34" s="16">
        <v>1</v>
      </c>
      <c r="K34" s="14"/>
      <c r="L34" s="14"/>
      <c r="M34" s="14"/>
      <c r="N34" s="14"/>
      <c r="O34" s="14"/>
      <c r="P34" s="14"/>
      <c r="Q34" s="15"/>
      <c r="R34" s="14"/>
      <c r="S34" s="15"/>
      <c r="T34" s="14"/>
      <c r="U34" s="14"/>
      <c r="V34" s="14"/>
    </row>
    <row r="35" spans="1:22" ht="15" customHeight="1" x14ac:dyDescent="0.3">
      <c r="A35" s="27"/>
      <c r="B35" s="24"/>
      <c r="C35" s="1"/>
      <c r="D35" s="2" t="s">
        <v>28</v>
      </c>
      <c r="E35" s="14"/>
      <c r="F35" s="15"/>
      <c r="G35" s="15"/>
      <c r="H35" s="16">
        <v>1</v>
      </c>
      <c r="I35" s="14"/>
      <c r="J35" s="16">
        <v>1</v>
      </c>
      <c r="K35" s="14"/>
      <c r="L35" s="14"/>
      <c r="M35" s="14"/>
      <c r="N35" s="14"/>
      <c r="O35" s="14"/>
      <c r="P35" s="14"/>
      <c r="Q35" s="14"/>
      <c r="R35" s="14"/>
      <c r="S35" s="15"/>
      <c r="T35" s="6">
        <v>0.5</v>
      </c>
      <c r="U35" s="14"/>
      <c r="V35" s="14"/>
    </row>
    <row r="36" spans="1:22" ht="15" customHeight="1" x14ac:dyDescent="0.3">
      <c r="A36" s="27"/>
      <c r="B36" s="24"/>
      <c r="C36" s="1"/>
      <c r="D36" s="2" t="s">
        <v>29</v>
      </c>
      <c r="E36" s="14"/>
      <c r="F36" s="14"/>
      <c r="G36" s="15"/>
      <c r="H36" s="16">
        <v>1</v>
      </c>
      <c r="I36" s="14"/>
      <c r="J36" s="16">
        <v>1</v>
      </c>
      <c r="K36" s="14"/>
      <c r="L36" s="14"/>
      <c r="M36" s="14"/>
      <c r="N36" s="14"/>
      <c r="O36" s="14"/>
      <c r="P36" s="14"/>
      <c r="Q36" s="14"/>
      <c r="R36" s="14"/>
      <c r="S36" s="15"/>
      <c r="T36" s="14"/>
      <c r="U36" s="14"/>
      <c r="V36" s="7">
        <v>0.5</v>
      </c>
    </row>
    <row r="37" spans="1:22" ht="15" customHeight="1" x14ac:dyDescent="0.3">
      <c r="A37" s="27"/>
      <c r="B37" s="24"/>
      <c r="C37" s="1"/>
      <c r="D37" s="2" t="s">
        <v>30</v>
      </c>
      <c r="E37" s="15"/>
      <c r="F37" s="14"/>
      <c r="G37" s="15"/>
      <c r="H37" s="16">
        <v>1</v>
      </c>
      <c r="I37" s="14"/>
      <c r="J37" s="16">
        <v>1</v>
      </c>
      <c r="K37" s="6">
        <v>0.5</v>
      </c>
      <c r="L37" s="14"/>
      <c r="M37" s="14"/>
      <c r="N37" s="14"/>
      <c r="O37" s="14"/>
      <c r="P37" s="7">
        <v>0.5</v>
      </c>
      <c r="Q37" s="14"/>
      <c r="R37" s="14"/>
      <c r="S37" s="14"/>
      <c r="T37" s="14"/>
      <c r="U37" s="14"/>
      <c r="V37" s="14"/>
    </row>
    <row r="38" spans="1:22" ht="15" hidden="1" customHeight="1" x14ac:dyDescent="0.3">
      <c r="A38" s="28"/>
      <c r="B38" s="25"/>
      <c r="C38" s="1"/>
      <c r="D38" s="2" t="s">
        <v>31</v>
      </c>
      <c r="E38" s="14"/>
      <c r="F38" s="14"/>
      <c r="G38" s="14"/>
      <c r="H38" s="16">
        <v>1</v>
      </c>
      <c r="I38" s="14"/>
      <c r="J38" s="16">
        <v>1</v>
      </c>
      <c r="K38" s="14"/>
      <c r="L38" s="18">
        <v>-1</v>
      </c>
      <c r="M38" s="18">
        <v>-1</v>
      </c>
      <c r="N38" s="18">
        <v>-1</v>
      </c>
      <c r="O38" s="18">
        <v>-1</v>
      </c>
      <c r="P38" s="14"/>
      <c r="Q38" s="14"/>
      <c r="R38" s="14"/>
      <c r="S38" s="14"/>
      <c r="T38" s="14"/>
      <c r="U38" s="14"/>
      <c r="V38" s="14"/>
    </row>
    <row r="39" spans="1:22" ht="15" customHeight="1" x14ac:dyDescent="0.3"/>
    <row r="40" spans="1:22" ht="15" customHeight="1" x14ac:dyDescent="0.3">
      <c r="A40" s="4" t="s">
        <v>55</v>
      </c>
      <c r="B40" s="23"/>
      <c r="C40" s="2"/>
      <c r="D40" s="3"/>
      <c r="E40" s="13" t="s">
        <v>2</v>
      </c>
      <c r="F40" s="13" t="s">
        <v>3</v>
      </c>
      <c r="G40" s="13" t="s">
        <v>56</v>
      </c>
      <c r="H40" s="13" t="s">
        <v>12</v>
      </c>
      <c r="I40" s="13" t="s">
        <v>17</v>
      </c>
      <c r="J40" s="13" t="s">
        <v>47</v>
      </c>
      <c r="K40" s="13" t="s">
        <v>38</v>
      </c>
      <c r="L40" s="13" t="s">
        <v>57</v>
      </c>
      <c r="M40" s="13" t="s">
        <v>58</v>
      </c>
      <c r="N40" s="13" t="s">
        <v>39</v>
      </c>
      <c r="O40" s="13" t="s">
        <v>50</v>
      </c>
      <c r="P40" s="13" t="s">
        <v>59</v>
      </c>
      <c r="Q40" s="13" t="s">
        <v>60</v>
      </c>
      <c r="R40" s="13" t="s">
        <v>19</v>
      </c>
      <c r="S40" s="13" t="s">
        <v>13</v>
      </c>
      <c r="T40" s="13" t="s">
        <v>61</v>
      </c>
      <c r="U40" s="13" t="s">
        <v>16</v>
      </c>
    </row>
    <row r="41" spans="1:22" ht="15" customHeight="1" x14ac:dyDescent="0.3">
      <c r="A41" s="26" t="s">
        <v>62</v>
      </c>
      <c r="B41" s="24"/>
      <c r="C41" s="1"/>
      <c r="D41" s="2" t="s">
        <v>21</v>
      </c>
      <c r="E41" s="16">
        <v>1</v>
      </c>
      <c r="F41" s="16">
        <v>1</v>
      </c>
      <c r="G41" s="16">
        <v>1</v>
      </c>
      <c r="H41" s="14"/>
      <c r="I41" s="14"/>
      <c r="J41" s="16">
        <v>1</v>
      </c>
      <c r="K41" s="14"/>
      <c r="L41" s="14"/>
      <c r="M41" s="14"/>
      <c r="N41" s="14"/>
      <c r="O41" s="14"/>
      <c r="P41" s="14"/>
      <c r="Q41" s="14"/>
      <c r="R41" s="14"/>
      <c r="S41" s="14"/>
      <c r="T41" s="7">
        <v>0.5</v>
      </c>
      <c r="U41" s="14"/>
    </row>
    <row r="42" spans="1:22" ht="15" customHeight="1" x14ac:dyDescent="0.3">
      <c r="A42" s="27"/>
      <c r="B42" s="24"/>
      <c r="C42" s="1"/>
      <c r="D42" s="2" t="s">
        <v>22</v>
      </c>
      <c r="E42" s="16">
        <v>1</v>
      </c>
      <c r="F42" s="16">
        <v>1</v>
      </c>
      <c r="G42" s="16">
        <v>1</v>
      </c>
      <c r="H42" s="14"/>
      <c r="I42" s="14"/>
      <c r="J42" s="16">
        <v>1</v>
      </c>
      <c r="K42" s="14"/>
      <c r="L42" s="14"/>
      <c r="M42" s="14"/>
      <c r="N42" s="14"/>
      <c r="O42" s="14"/>
      <c r="P42" s="14"/>
      <c r="Q42" s="14"/>
      <c r="R42" s="15"/>
      <c r="S42" s="6">
        <v>0.5</v>
      </c>
      <c r="T42" s="14"/>
      <c r="U42" s="14"/>
    </row>
    <row r="43" spans="1:22" ht="15" customHeight="1" x14ac:dyDescent="0.3">
      <c r="A43" s="27"/>
      <c r="B43" s="24"/>
      <c r="C43" s="1"/>
      <c r="D43" s="2" t="s">
        <v>23</v>
      </c>
      <c r="E43" s="16">
        <v>1</v>
      </c>
      <c r="F43" s="16">
        <v>1</v>
      </c>
      <c r="G43" s="16">
        <v>1</v>
      </c>
      <c r="H43" s="14"/>
      <c r="I43" s="15"/>
      <c r="J43" s="16">
        <v>1</v>
      </c>
      <c r="K43" s="14"/>
      <c r="L43" s="14"/>
      <c r="M43" s="14"/>
      <c r="N43" s="14"/>
      <c r="O43" s="14"/>
      <c r="P43" s="14"/>
      <c r="Q43" s="14"/>
      <c r="R43" s="15"/>
      <c r="S43" s="14"/>
      <c r="T43" s="14"/>
      <c r="U43" s="14"/>
    </row>
    <row r="44" spans="1:22" ht="15" customHeight="1" x14ac:dyDescent="0.3">
      <c r="A44" s="27"/>
      <c r="B44" s="24"/>
      <c r="C44" s="1"/>
      <c r="D44" s="2" t="s">
        <v>24</v>
      </c>
      <c r="E44" s="16">
        <v>1</v>
      </c>
      <c r="F44" s="16">
        <v>1</v>
      </c>
      <c r="G44" s="16">
        <v>1</v>
      </c>
      <c r="H44" s="15"/>
      <c r="I44" s="14"/>
      <c r="J44" s="16">
        <v>1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 spans="1:22" ht="15" customHeight="1" x14ac:dyDescent="0.3">
      <c r="A45" s="27"/>
      <c r="B45" s="24"/>
      <c r="C45" s="1"/>
      <c r="D45" s="2" t="s">
        <v>25</v>
      </c>
      <c r="E45" s="16">
        <v>1</v>
      </c>
      <c r="F45" s="16">
        <v>1</v>
      </c>
      <c r="G45" s="16">
        <v>1</v>
      </c>
      <c r="H45" s="15"/>
      <c r="I45" s="15"/>
      <c r="J45" s="16">
        <v>1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spans="1:22" ht="15" customHeight="1" x14ac:dyDescent="0.3">
      <c r="A46" s="27"/>
      <c r="B46" s="24"/>
      <c r="C46" s="1"/>
      <c r="D46" s="2" t="s">
        <v>26</v>
      </c>
      <c r="E46" s="16">
        <v>1</v>
      </c>
      <c r="F46" s="16">
        <v>1</v>
      </c>
      <c r="G46" s="16">
        <v>1</v>
      </c>
      <c r="H46" s="15"/>
      <c r="I46" s="14"/>
      <c r="J46" s="16">
        <v>1</v>
      </c>
      <c r="K46" s="14"/>
      <c r="L46" s="14"/>
      <c r="M46" s="14"/>
      <c r="N46" s="14"/>
      <c r="O46" s="14"/>
      <c r="P46" s="14"/>
      <c r="Q46" s="14"/>
      <c r="R46" s="14"/>
      <c r="S46" s="6">
        <v>0.5</v>
      </c>
      <c r="T46" s="14"/>
      <c r="U46" s="14"/>
    </row>
    <row r="47" spans="1:22" ht="15" customHeight="1" x14ac:dyDescent="0.3">
      <c r="A47" s="27"/>
      <c r="B47" s="24"/>
      <c r="C47" s="1"/>
      <c r="D47" s="2" t="s">
        <v>27</v>
      </c>
      <c r="E47" s="17">
        <v>-0.5</v>
      </c>
      <c r="F47" s="16">
        <v>1</v>
      </c>
      <c r="G47" s="16">
        <v>1</v>
      </c>
      <c r="H47" s="14"/>
      <c r="I47" s="15"/>
      <c r="J47" s="16">
        <v>1</v>
      </c>
      <c r="K47" s="14"/>
      <c r="L47" s="14"/>
      <c r="M47" s="14"/>
      <c r="N47" s="14"/>
      <c r="O47" s="14"/>
      <c r="P47" s="14"/>
      <c r="Q47" s="14"/>
      <c r="R47" s="15"/>
      <c r="S47" s="14"/>
      <c r="T47" s="14"/>
      <c r="U47" s="6">
        <v>0.5</v>
      </c>
    </row>
    <row r="48" spans="1:22" ht="15" customHeight="1" x14ac:dyDescent="0.3">
      <c r="A48" s="27"/>
      <c r="B48" s="24"/>
      <c r="C48" s="1"/>
      <c r="D48" s="2" t="s">
        <v>28</v>
      </c>
      <c r="E48" s="17">
        <v>-0.5</v>
      </c>
      <c r="F48" s="17">
        <v>-0.5</v>
      </c>
      <c r="G48" s="16">
        <v>1</v>
      </c>
      <c r="H48" s="15"/>
      <c r="I48" s="15"/>
      <c r="J48" s="16">
        <v>1</v>
      </c>
      <c r="K48" s="14"/>
      <c r="L48" s="14"/>
      <c r="M48" s="14"/>
      <c r="N48" s="14"/>
      <c r="O48" s="14"/>
      <c r="P48" s="14"/>
      <c r="Q48" s="14"/>
      <c r="R48" s="14"/>
      <c r="S48" s="6">
        <v>0.5</v>
      </c>
      <c r="T48" s="14"/>
      <c r="U48" s="6">
        <v>0.5</v>
      </c>
    </row>
    <row r="49" spans="1:21" ht="15" customHeight="1" x14ac:dyDescent="0.3">
      <c r="A49" s="27"/>
      <c r="B49" s="24"/>
      <c r="C49" s="1"/>
      <c r="D49" s="2" t="s">
        <v>29</v>
      </c>
      <c r="E49" s="16">
        <v>1</v>
      </c>
      <c r="F49" s="16">
        <v>1</v>
      </c>
      <c r="G49" s="16">
        <v>1</v>
      </c>
      <c r="H49" s="14"/>
      <c r="I49" s="14"/>
      <c r="J49" s="16">
        <v>1</v>
      </c>
      <c r="K49" s="14"/>
      <c r="L49" s="14"/>
      <c r="M49" s="14"/>
      <c r="N49" s="14"/>
      <c r="O49" s="14"/>
      <c r="P49" s="14"/>
      <c r="Q49" s="14"/>
      <c r="R49" s="15"/>
      <c r="S49" s="14"/>
      <c r="T49" s="14"/>
      <c r="U49" s="14"/>
    </row>
    <row r="50" spans="1:21" ht="15" customHeight="1" x14ac:dyDescent="0.3">
      <c r="A50" s="27"/>
      <c r="B50" s="24"/>
      <c r="C50" s="1"/>
      <c r="D50" s="2" t="s">
        <v>30</v>
      </c>
      <c r="E50" s="16">
        <v>1</v>
      </c>
      <c r="F50" s="16">
        <v>1</v>
      </c>
      <c r="G50" s="16">
        <v>1</v>
      </c>
      <c r="H50" s="14"/>
      <c r="I50" s="14"/>
      <c r="J50" s="16">
        <v>1</v>
      </c>
      <c r="K50" s="14"/>
      <c r="L50" s="14"/>
      <c r="M50" s="14"/>
      <c r="N50" s="14"/>
      <c r="O50" s="14"/>
      <c r="P50" s="9">
        <v>-0.5</v>
      </c>
      <c r="Q50" s="7">
        <v>0.5</v>
      </c>
      <c r="R50" s="14"/>
      <c r="S50" s="14"/>
      <c r="T50" s="14"/>
      <c r="U50" s="14"/>
    </row>
    <row r="51" spans="1:21" ht="15" hidden="1" customHeight="1" x14ac:dyDescent="0.3">
      <c r="A51" s="28"/>
      <c r="B51" s="25"/>
      <c r="C51" s="1"/>
      <c r="D51" s="2" t="s">
        <v>31</v>
      </c>
      <c r="E51" s="17">
        <v>-0.5</v>
      </c>
      <c r="F51" s="17">
        <v>-0.5</v>
      </c>
      <c r="G51" s="17">
        <v>-0.5</v>
      </c>
      <c r="H51" s="14"/>
      <c r="I51" s="14"/>
      <c r="J51" s="16">
        <v>1</v>
      </c>
      <c r="K51" s="18">
        <v>-1</v>
      </c>
      <c r="L51" s="18">
        <v>-1</v>
      </c>
      <c r="M51" s="18">
        <v>-1</v>
      </c>
      <c r="N51" s="18">
        <v>-1</v>
      </c>
      <c r="O51" s="18">
        <v>-1</v>
      </c>
      <c r="P51" s="14"/>
      <c r="Q51" s="14"/>
      <c r="R51" s="14"/>
      <c r="S51" s="14"/>
      <c r="T51" s="14"/>
      <c r="U51" s="14"/>
    </row>
    <row r="52" spans="1:21" ht="15" customHeight="1" x14ac:dyDescent="0.3"/>
    <row r="53" spans="1:21" ht="15" customHeight="1" x14ac:dyDescent="0.3">
      <c r="A53" s="4" t="s">
        <v>63</v>
      </c>
      <c r="B53" s="23"/>
      <c r="C53" s="2"/>
      <c r="D53" s="3"/>
      <c r="E53" s="13" t="s">
        <v>13</v>
      </c>
      <c r="F53" s="13" t="s">
        <v>33</v>
      </c>
      <c r="G53" s="13" t="s">
        <v>2</v>
      </c>
      <c r="H53" s="13" t="s">
        <v>19</v>
      </c>
      <c r="I53" s="13" t="s">
        <v>64</v>
      </c>
      <c r="J53" s="13" t="s">
        <v>4</v>
      </c>
      <c r="K53" s="13" t="s">
        <v>3</v>
      </c>
      <c r="L53" s="13" t="s">
        <v>36</v>
      </c>
      <c r="M53" s="13" t="s">
        <v>65</v>
      </c>
      <c r="N53" s="13" t="s">
        <v>10</v>
      </c>
      <c r="O53" s="13" t="s">
        <v>9</v>
      </c>
      <c r="P53" s="13" t="s">
        <v>49</v>
      </c>
      <c r="Q53" s="13" t="s">
        <v>12</v>
      </c>
      <c r="R53" s="13" t="s">
        <v>18</v>
      </c>
      <c r="S53" s="13" t="s">
        <v>35</v>
      </c>
      <c r="T53" s="13" t="s">
        <v>16</v>
      </c>
    </row>
    <row r="54" spans="1:21" ht="15" customHeight="1" x14ac:dyDescent="0.3">
      <c r="A54" s="26" t="s">
        <v>66</v>
      </c>
      <c r="B54" s="24"/>
      <c r="C54" s="1"/>
      <c r="D54" s="2" t="s">
        <v>21</v>
      </c>
      <c r="E54" s="16">
        <v>1</v>
      </c>
      <c r="F54" s="16">
        <v>1</v>
      </c>
      <c r="G54" s="6">
        <v>0.5</v>
      </c>
      <c r="H54" s="14"/>
      <c r="I54" s="16">
        <v>1</v>
      </c>
      <c r="J54" s="14"/>
      <c r="K54" s="16">
        <v>1</v>
      </c>
      <c r="L54" s="15"/>
      <c r="M54" s="14"/>
      <c r="N54" s="14"/>
      <c r="O54" s="14"/>
      <c r="P54" s="14"/>
      <c r="Q54" s="14"/>
      <c r="R54" s="14"/>
      <c r="S54" s="14"/>
      <c r="T54" s="14"/>
    </row>
    <row r="55" spans="1:21" ht="15" customHeight="1" x14ac:dyDescent="0.3">
      <c r="A55" s="27"/>
      <c r="B55" s="24"/>
      <c r="C55" s="1"/>
      <c r="D55" s="2" t="s">
        <v>22</v>
      </c>
      <c r="E55" s="17">
        <v>-0.5</v>
      </c>
      <c r="F55" s="16">
        <v>1</v>
      </c>
      <c r="G55" s="14"/>
      <c r="H55" s="14"/>
      <c r="I55" s="16">
        <v>1</v>
      </c>
      <c r="J55" s="14"/>
      <c r="K55" s="16">
        <v>1</v>
      </c>
      <c r="L55" s="15"/>
      <c r="M55" s="14"/>
      <c r="N55" s="14"/>
      <c r="O55" s="14"/>
      <c r="P55" s="14"/>
      <c r="Q55" s="14"/>
      <c r="R55" s="7">
        <v>0.5</v>
      </c>
      <c r="S55" s="7">
        <v>0.5</v>
      </c>
      <c r="T55" s="14"/>
    </row>
    <row r="56" spans="1:21" ht="15" customHeight="1" x14ac:dyDescent="0.3">
      <c r="A56" s="27"/>
      <c r="B56" s="24"/>
      <c r="C56" s="1"/>
      <c r="D56" s="2" t="s">
        <v>23</v>
      </c>
      <c r="E56" s="16">
        <v>1</v>
      </c>
      <c r="F56" s="16">
        <v>1</v>
      </c>
      <c r="G56" s="14"/>
      <c r="H56" s="14"/>
      <c r="I56" s="16">
        <v>1</v>
      </c>
      <c r="J56" s="15"/>
      <c r="K56" s="16">
        <v>1</v>
      </c>
      <c r="L56" s="15"/>
      <c r="M56" s="14"/>
      <c r="N56" s="14"/>
      <c r="O56" s="14"/>
      <c r="P56" s="14"/>
      <c r="Q56" s="14"/>
      <c r="R56" s="14"/>
      <c r="S56" s="14"/>
      <c r="T56" s="14"/>
    </row>
    <row r="57" spans="1:21" ht="15" customHeight="1" x14ac:dyDescent="0.3">
      <c r="A57" s="27"/>
      <c r="B57" s="24"/>
      <c r="C57" s="1"/>
      <c r="D57" s="2" t="s">
        <v>24</v>
      </c>
      <c r="E57" s="16">
        <v>1</v>
      </c>
      <c r="F57" s="16">
        <v>1</v>
      </c>
      <c r="G57" s="14"/>
      <c r="H57" s="14"/>
      <c r="I57" s="16">
        <v>1</v>
      </c>
      <c r="J57" s="15"/>
      <c r="K57" s="16">
        <v>1</v>
      </c>
      <c r="L57" s="15"/>
      <c r="M57" s="14"/>
      <c r="N57" s="14"/>
      <c r="O57" s="14"/>
      <c r="P57" s="14"/>
      <c r="Q57" s="14"/>
      <c r="R57" s="14"/>
      <c r="S57" s="14"/>
      <c r="T57" s="14"/>
    </row>
    <row r="58" spans="1:21" ht="15" customHeight="1" x14ac:dyDescent="0.3">
      <c r="A58" s="27"/>
      <c r="B58" s="24"/>
      <c r="C58" s="1"/>
      <c r="D58" s="2" t="s">
        <v>25</v>
      </c>
      <c r="E58" s="16">
        <v>1</v>
      </c>
      <c r="F58" s="16">
        <v>1</v>
      </c>
      <c r="G58" s="6">
        <v>0.5</v>
      </c>
      <c r="H58" s="7">
        <v>0.5</v>
      </c>
      <c r="I58" s="16">
        <v>1</v>
      </c>
      <c r="J58" s="15"/>
      <c r="K58" s="17">
        <v>-0.5</v>
      </c>
      <c r="L58" s="14"/>
      <c r="M58" s="14"/>
      <c r="N58" s="14"/>
      <c r="O58" s="14"/>
      <c r="P58" s="14"/>
      <c r="Q58" s="14"/>
      <c r="R58" s="14"/>
      <c r="S58" s="14"/>
      <c r="T58" s="14"/>
    </row>
    <row r="59" spans="1:21" ht="15" customHeight="1" x14ac:dyDescent="0.3">
      <c r="A59" s="27"/>
      <c r="B59" s="24"/>
      <c r="C59" s="1"/>
      <c r="D59" s="2" t="s">
        <v>26</v>
      </c>
      <c r="E59" s="16">
        <v>1</v>
      </c>
      <c r="F59" s="16">
        <v>1</v>
      </c>
      <c r="G59" s="14"/>
      <c r="H59" s="14"/>
      <c r="I59" s="16">
        <v>1</v>
      </c>
      <c r="J59" s="15"/>
      <c r="K59" s="16">
        <v>1</v>
      </c>
      <c r="L59" s="15"/>
      <c r="M59" s="14"/>
      <c r="N59" s="14"/>
      <c r="O59" s="14"/>
      <c r="P59" s="14"/>
      <c r="Q59" s="14"/>
      <c r="R59" s="14"/>
      <c r="S59" s="14"/>
      <c r="T59" s="14"/>
    </row>
    <row r="60" spans="1:21" ht="15" customHeight="1" x14ac:dyDescent="0.3">
      <c r="A60" s="27"/>
      <c r="B60" s="24"/>
      <c r="C60" s="1"/>
      <c r="D60" s="2" t="s">
        <v>27</v>
      </c>
      <c r="E60" s="16">
        <v>1</v>
      </c>
      <c r="F60" s="16">
        <v>1</v>
      </c>
      <c r="G60" s="14"/>
      <c r="H60" s="14"/>
      <c r="I60" s="16">
        <v>1</v>
      </c>
      <c r="J60" s="15"/>
      <c r="K60" s="16">
        <v>1</v>
      </c>
      <c r="L60" s="14"/>
      <c r="M60" s="14"/>
      <c r="N60" s="14"/>
      <c r="O60" s="14"/>
      <c r="P60" s="14"/>
      <c r="Q60" s="14"/>
      <c r="R60" s="14"/>
      <c r="S60" s="14"/>
      <c r="T60" s="6">
        <v>0.5</v>
      </c>
    </row>
    <row r="61" spans="1:21" ht="15" customHeight="1" x14ac:dyDescent="0.3">
      <c r="A61" s="27"/>
      <c r="B61" s="24"/>
      <c r="C61" s="1"/>
      <c r="D61" s="2" t="s">
        <v>28</v>
      </c>
      <c r="E61" s="16">
        <v>1</v>
      </c>
      <c r="F61" s="16">
        <v>1</v>
      </c>
      <c r="G61" s="14"/>
      <c r="H61" s="14"/>
      <c r="I61" s="16">
        <v>1</v>
      </c>
      <c r="J61" s="14"/>
      <c r="K61" s="16">
        <v>1</v>
      </c>
      <c r="L61" s="15"/>
      <c r="M61" s="14"/>
      <c r="N61" s="14"/>
      <c r="O61" s="14"/>
      <c r="P61" s="14"/>
      <c r="Q61" s="6">
        <v>0.5</v>
      </c>
      <c r="R61" s="14"/>
      <c r="S61" s="14"/>
      <c r="T61" s="14"/>
    </row>
    <row r="62" spans="1:21" ht="15" customHeight="1" x14ac:dyDescent="0.3">
      <c r="A62" s="27"/>
      <c r="B62" s="24"/>
      <c r="C62" s="1"/>
      <c r="D62" s="2" t="s">
        <v>29</v>
      </c>
      <c r="E62" s="16">
        <v>1</v>
      </c>
      <c r="F62" s="16">
        <v>1</v>
      </c>
      <c r="G62" s="14"/>
      <c r="H62" s="14"/>
      <c r="I62" s="16">
        <v>1</v>
      </c>
      <c r="J62" s="15"/>
      <c r="K62" s="16">
        <v>1</v>
      </c>
      <c r="L62" s="14"/>
      <c r="M62" s="14"/>
      <c r="N62" s="14"/>
      <c r="O62" s="14"/>
      <c r="P62" s="14"/>
      <c r="Q62" s="14"/>
      <c r="R62" s="14"/>
      <c r="S62" s="14"/>
      <c r="T62" s="6">
        <v>0.5</v>
      </c>
    </row>
    <row r="63" spans="1:21" ht="15" customHeight="1" x14ac:dyDescent="0.3">
      <c r="A63" s="27"/>
      <c r="B63" s="24"/>
      <c r="C63" s="1"/>
      <c r="D63" s="2" t="s">
        <v>30</v>
      </c>
      <c r="E63" s="16">
        <v>1</v>
      </c>
      <c r="F63" s="16">
        <v>1</v>
      </c>
      <c r="G63" s="6">
        <v>0.5</v>
      </c>
      <c r="H63" s="14"/>
      <c r="I63" s="16">
        <v>1</v>
      </c>
      <c r="J63" s="14"/>
      <c r="K63" s="17">
        <v>-0.5</v>
      </c>
      <c r="L63" s="15"/>
      <c r="M63" s="14"/>
      <c r="N63" s="14"/>
      <c r="O63" s="14"/>
      <c r="P63" s="14"/>
      <c r="Q63" s="6">
        <v>0.5</v>
      </c>
      <c r="R63" s="14"/>
      <c r="S63" s="14"/>
      <c r="T63" s="14"/>
    </row>
    <row r="64" spans="1:21" ht="15" hidden="1" customHeight="1" x14ac:dyDescent="0.3">
      <c r="A64" s="28"/>
      <c r="B64" s="25"/>
      <c r="C64" s="1"/>
      <c r="D64" s="2" t="s">
        <v>31</v>
      </c>
      <c r="E64" s="17">
        <v>-0.5</v>
      </c>
      <c r="F64" s="16">
        <v>1</v>
      </c>
      <c r="G64" s="14"/>
      <c r="H64" s="14"/>
      <c r="I64" s="17">
        <v>-0.5</v>
      </c>
      <c r="J64" s="15"/>
      <c r="K64" s="17">
        <v>-0.5</v>
      </c>
      <c r="L64" s="14"/>
      <c r="M64" s="18">
        <v>-1</v>
      </c>
      <c r="N64" s="18">
        <v>-1</v>
      </c>
      <c r="O64" s="18">
        <v>-1</v>
      </c>
      <c r="P64" s="18">
        <v>-1</v>
      </c>
      <c r="Q64" s="14"/>
      <c r="R64" s="14"/>
      <c r="S64" s="14"/>
      <c r="T64" s="14"/>
    </row>
    <row r="65" spans="1:24" ht="15" customHeight="1" x14ac:dyDescent="0.3"/>
    <row r="66" spans="1:24" ht="15" customHeight="1" x14ac:dyDescent="0.3">
      <c r="A66" s="4" t="s">
        <v>67</v>
      </c>
      <c r="B66" s="23"/>
      <c r="C66" s="2"/>
      <c r="D66" s="3"/>
      <c r="E66" s="13" t="s">
        <v>33</v>
      </c>
      <c r="F66" s="13" t="s">
        <v>34</v>
      </c>
      <c r="G66" s="13" t="s">
        <v>2</v>
      </c>
      <c r="H66" s="13" t="s">
        <v>35</v>
      </c>
      <c r="I66" s="13" t="s">
        <v>68</v>
      </c>
      <c r="J66" s="13" t="s">
        <v>17</v>
      </c>
      <c r="K66" s="13" t="s">
        <v>12</v>
      </c>
      <c r="L66" s="13" t="s">
        <v>36</v>
      </c>
      <c r="M66" s="13" t="s">
        <v>69</v>
      </c>
      <c r="N66" s="13" t="s">
        <v>10</v>
      </c>
      <c r="O66" s="13" t="s">
        <v>39</v>
      </c>
      <c r="P66" s="13" t="s">
        <v>40</v>
      </c>
      <c r="Q66" s="13" t="s">
        <v>70</v>
      </c>
      <c r="R66" s="13" t="s">
        <v>71</v>
      </c>
      <c r="S66" s="13" t="s">
        <v>72</v>
      </c>
      <c r="T66" s="13" t="s">
        <v>73</v>
      </c>
      <c r="U66" s="13" t="s">
        <v>74</v>
      </c>
      <c r="V66" s="13" t="s">
        <v>16</v>
      </c>
      <c r="W66" s="13" t="s">
        <v>13</v>
      </c>
      <c r="X66" s="13" t="s">
        <v>19</v>
      </c>
    </row>
    <row r="67" spans="1:24" ht="15" customHeight="1" x14ac:dyDescent="0.3">
      <c r="A67" s="26" t="s">
        <v>75</v>
      </c>
      <c r="B67" s="24"/>
      <c r="C67" s="1"/>
      <c r="D67" s="2" t="s">
        <v>21</v>
      </c>
      <c r="E67" s="16">
        <v>1</v>
      </c>
      <c r="F67" s="16">
        <v>1</v>
      </c>
      <c r="G67" s="15"/>
      <c r="H67" s="14"/>
      <c r="I67" s="15"/>
      <c r="J67" s="14"/>
      <c r="K67" s="14"/>
      <c r="L67" s="16">
        <v>1</v>
      </c>
      <c r="M67" s="14"/>
      <c r="N67" s="14"/>
      <c r="O67" s="14"/>
      <c r="P67" s="14"/>
      <c r="Q67" s="14"/>
      <c r="R67" s="14"/>
      <c r="S67" s="14"/>
      <c r="T67" s="14"/>
      <c r="U67" s="7">
        <v>0.5</v>
      </c>
      <c r="V67" s="14"/>
      <c r="W67" s="14"/>
      <c r="X67" s="14"/>
    </row>
    <row r="68" spans="1:24" ht="15" customHeight="1" x14ac:dyDescent="0.3">
      <c r="A68" s="27"/>
      <c r="B68" s="24"/>
      <c r="C68" s="1"/>
      <c r="D68" s="2" t="s">
        <v>22</v>
      </c>
      <c r="E68" s="16">
        <v>1</v>
      </c>
      <c r="F68" s="16">
        <v>1</v>
      </c>
      <c r="G68" s="15"/>
      <c r="H68" s="6">
        <v>0.5</v>
      </c>
      <c r="I68" s="14"/>
      <c r="J68" s="14"/>
      <c r="K68" s="15"/>
      <c r="L68" s="17">
        <v>-0.5</v>
      </c>
      <c r="M68" s="14"/>
      <c r="N68" s="14"/>
      <c r="O68" s="14"/>
      <c r="P68" s="14"/>
      <c r="Q68" s="14"/>
      <c r="R68" s="14"/>
      <c r="S68" s="6">
        <v>0.5</v>
      </c>
      <c r="T68" s="14"/>
      <c r="U68" s="14"/>
      <c r="V68" s="14"/>
      <c r="W68" s="14"/>
      <c r="X68" s="14"/>
    </row>
    <row r="69" spans="1:24" ht="15" customHeight="1" x14ac:dyDescent="0.3">
      <c r="A69" s="27"/>
      <c r="B69" s="24"/>
      <c r="C69" s="1"/>
      <c r="D69" s="2" t="s">
        <v>23</v>
      </c>
      <c r="E69" s="17">
        <v>-0.5</v>
      </c>
      <c r="F69" s="16">
        <v>1</v>
      </c>
      <c r="G69" s="15"/>
      <c r="H69" s="14"/>
      <c r="I69" s="14"/>
      <c r="J69" s="14"/>
      <c r="K69" s="14"/>
      <c r="L69" s="16">
        <v>1</v>
      </c>
      <c r="M69" s="14"/>
      <c r="N69" s="14"/>
      <c r="O69" s="14"/>
      <c r="P69" s="14"/>
      <c r="Q69" s="14"/>
      <c r="R69" s="9">
        <v>-0.5</v>
      </c>
      <c r="S69" s="6">
        <v>0.5</v>
      </c>
      <c r="T69" s="9">
        <v>-0.5</v>
      </c>
      <c r="U69" s="14"/>
      <c r="V69" s="14"/>
      <c r="W69" s="14"/>
      <c r="X69" s="14"/>
    </row>
    <row r="70" spans="1:24" ht="15" customHeight="1" x14ac:dyDescent="0.3">
      <c r="A70" s="27"/>
      <c r="B70" s="24"/>
      <c r="C70" s="1"/>
      <c r="D70" s="2" t="s">
        <v>24</v>
      </c>
      <c r="E70" s="16">
        <v>1</v>
      </c>
      <c r="F70" s="16">
        <v>1</v>
      </c>
      <c r="G70" s="15"/>
      <c r="H70" s="14"/>
      <c r="I70" s="14"/>
      <c r="J70" s="14"/>
      <c r="K70" s="15"/>
      <c r="L70" s="16">
        <v>1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1:24" ht="15" customHeight="1" x14ac:dyDescent="0.3">
      <c r="A71" s="27"/>
      <c r="B71" s="24"/>
      <c r="C71" s="1"/>
      <c r="D71" s="2" t="s">
        <v>25</v>
      </c>
      <c r="E71" s="16">
        <v>1</v>
      </c>
      <c r="F71" s="16">
        <v>1</v>
      </c>
      <c r="G71" s="15"/>
      <c r="H71" s="6">
        <v>0.5</v>
      </c>
      <c r="I71" s="15"/>
      <c r="J71" s="7">
        <v>0.5</v>
      </c>
      <c r="K71" s="14"/>
      <c r="L71" s="17">
        <v>-0.5</v>
      </c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spans="1:24" ht="15" customHeight="1" x14ac:dyDescent="0.3">
      <c r="A72" s="27"/>
      <c r="B72" s="24"/>
      <c r="C72" s="1"/>
      <c r="D72" s="2" t="s">
        <v>26</v>
      </c>
      <c r="E72" s="16">
        <v>1</v>
      </c>
      <c r="F72" s="16">
        <v>1</v>
      </c>
      <c r="G72" s="14"/>
      <c r="H72" s="14"/>
      <c r="I72" s="14"/>
      <c r="J72" s="14"/>
      <c r="K72" s="15"/>
      <c r="L72" s="16">
        <v>1</v>
      </c>
      <c r="M72" s="14"/>
      <c r="N72" s="14"/>
      <c r="O72" s="14"/>
      <c r="P72" s="14"/>
      <c r="Q72" s="6">
        <v>0.5</v>
      </c>
      <c r="R72" s="14"/>
      <c r="S72" s="14"/>
      <c r="T72" s="14"/>
      <c r="U72" s="14"/>
      <c r="V72" s="14"/>
      <c r="W72" s="6">
        <v>0.5</v>
      </c>
      <c r="X72" s="14"/>
    </row>
    <row r="73" spans="1:24" ht="15" customHeight="1" x14ac:dyDescent="0.3">
      <c r="A73" s="27"/>
      <c r="B73" s="24"/>
      <c r="C73" s="1"/>
      <c r="D73" s="2" t="s">
        <v>27</v>
      </c>
      <c r="E73" s="16">
        <v>1</v>
      </c>
      <c r="F73" s="16">
        <v>1</v>
      </c>
      <c r="G73" s="14"/>
      <c r="H73" s="14"/>
      <c r="I73" s="15"/>
      <c r="J73" s="14"/>
      <c r="K73" s="14"/>
      <c r="L73" s="16">
        <v>1</v>
      </c>
      <c r="M73" s="14"/>
      <c r="N73" s="14"/>
      <c r="O73" s="14"/>
      <c r="P73" s="14"/>
      <c r="Q73" s="14"/>
      <c r="R73" s="14"/>
      <c r="S73" s="14"/>
      <c r="T73" s="14"/>
      <c r="U73" s="14"/>
      <c r="V73" s="6">
        <v>0.5</v>
      </c>
      <c r="W73" s="6">
        <v>0.5</v>
      </c>
      <c r="X73" s="14"/>
    </row>
    <row r="74" spans="1:24" ht="15" customHeight="1" x14ac:dyDescent="0.3">
      <c r="A74" s="27"/>
      <c r="B74" s="24"/>
      <c r="C74" s="1"/>
      <c r="D74" s="2" t="s">
        <v>28</v>
      </c>
      <c r="E74" s="16">
        <v>1</v>
      </c>
      <c r="F74" s="16">
        <v>1</v>
      </c>
      <c r="G74" s="14"/>
      <c r="H74" s="14"/>
      <c r="I74" s="14"/>
      <c r="J74" s="14"/>
      <c r="K74" s="15"/>
      <c r="L74" s="16">
        <v>1</v>
      </c>
      <c r="M74" s="14"/>
      <c r="N74" s="14"/>
      <c r="O74" s="14"/>
      <c r="P74" s="14"/>
      <c r="Q74" s="14"/>
      <c r="R74" s="14"/>
      <c r="S74" s="14"/>
      <c r="T74" s="14"/>
      <c r="U74" s="14"/>
      <c r="V74" s="6">
        <v>0.5</v>
      </c>
      <c r="W74" s="6">
        <v>0.5</v>
      </c>
      <c r="X74" s="14"/>
    </row>
    <row r="75" spans="1:24" ht="15" customHeight="1" x14ac:dyDescent="0.3">
      <c r="A75" s="27"/>
      <c r="B75" s="24"/>
      <c r="C75" s="1"/>
      <c r="D75" s="2" t="s">
        <v>29</v>
      </c>
      <c r="E75" s="16">
        <v>1</v>
      </c>
      <c r="F75" s="16">
        <v>1</v>
      </c>
      <c r="G75" s="14"/>
      <c r="H75" s="14"/>
      <c r="I75" s="15"/>
      <c r="J75" s="14"/>
      <c r="K75" s="14"/>
      <c r="L75" s="16">
        <v>1</v>
      </c>
      <c r="M75" s="14"/>
      <c r="N75" s="14"/>
      <c r="O75" s="14"/>
      <c r="P75" s="14"/>
      <c r="Q75" s="6">
        <v>0.5</v>
      </c>
      <c r="R75" s="14"/>
      <c r="S75" s="14"/>
      <c r="T75" s="14"/>
      <c r="U75" s="14"/>
      <c r="V75" s="14"/>
      <c r="W75" s="14"/>
      <c r="X75" s="7">
        <v>0.5</v>
      </c>
    </row>
    <row r="76" spans="1:24" ht="15" customHeight="1" x14ac:dyDescent="0.3">
      <c r="A76" s="27"/>
      <c r="B76" s="24"/>
      <c r="C76" s="1"/>
      <c r="D76" s="2" t="s">
        <v>30</v>
      </c>
      <c r="E76" s="16">
        <v>1</v>
      </c>
      <c r="F76" s="16">
        <v>1</v>
      </c>
      <c r="G76" s="15"/>
      <c r="H76" s="14"/>
      <c r="I76" s="15"/>
      <c r="J76" s="14"/>
      <c r="K76" s="14"/>
      <c r="L76" s="16">
        <v>1</v>
      </c>
      <c r="M76" s="14"/>
      <c r="N76" s="14"/>
      <c r="O76" s="14"/>
      <c r="P76" s="14"/>
      <c r="Q76" s="6">
        <v>0.5</v>
      </c>
      <c r="R76" s="14"/>
      <c r="S76" s="14"/>
      <c r="T76" s="14"/>
      <c r="U76" s="14"/>
      <c r="V76" s="14"/>
      <c r="W76" s="14"/>
      <c r="X76" s="14"/>
    </row>
    <row r="77" spans="1:24" ht="15" hidden="1" customHeight="1" x14ac:dyDescent="0.3">
      <c r="A77" s="28"/>
      <c r="B77" s="25"/>
      <c r="C77" s="1"/>
      <c r="D77" s="2" t="s">
        <v>31</v>
      </c>
      <c r="E77" s="16">
        <v>1</v>
      </c>
      <c r="F77" s="16">
        <v>1</v>
      </c>
      <c r="G77" s="14"/>
      <c r="H77" s="14"/>
      <c r="I77" s="14"/>
      <c r="J77" s="14"/>
      <c r="K77" s="14"/>
      <c r="L77" s="17">
        <v>-0.5</v>
      </c>
      <c r="M77" s="18">
        <v>-1</v>
      </c>
      <c r="N77" s="18">
        <v>-1</v>
      </c>
      <c r="O77" s="18">
        <v>-1</v>
      </c>
      <c r="P77" s="18">
        <v>-1</v>
      </c>
      <c r="Q77" s="14"/>
      <c r="R77" s="14"/>
      <c r="S77" s="14"/>
      <c r="T77" s="14"/>
      <c r="U77" s="14"/>
      <c r="V77" s="14"/>
      <c r="W77" s="14"/>
      <c r="X77" s="14"/>
    </row>
    <row r="78" spans="1:24" ht="15" customHeight="1" x14ac:dyDescent="0.3"/>
    <row r="79" spans="1:24" ht="15" customHeight="1" x14ac:dyDescent="0.3"/>
    <row r="80" spans="1:24" ht="15" customHeight="1" x14ac:dyDescent="0.3">
      <c r="D80" t="s">
        <v>76</v>
      </c>
      <c r="E80" t="s">
        <v>77</v>
      </c>
      <c r="F80" t="s">
        <v>78</v>
      </c>
      <c r="G80" t="s">
        <v>79</v>
      </c>
    </row>
    <row r="81" spans="4:13" ht="15" customHeight="1" x14ac:dyDescent="0.3">
      <c r="D81" t="s">
        <v>21</v>
      </c>
      <c r="E81">
        <f t="shared" ref="E81:E91" si="0">SUM(E2:X2)+SUM(E15:X15)+SUM(E28:X28)+SUM(E41:X41)+SUM(E54:X54)+SUM(E67:X67)</f>
        <v>21</v>
      </c>
      <c r="F81" s="19">
        <v>6.1600000000000002E-2</v>
      </c>
      <c r="G81" s="5">
        <f t="array" aca="1" ref="G81" ca="1">Table1[[#This Row],[Cost (USD)]]*_FV($I$88,"Price")</f>
        <v>19.068280000000001</v>
      </c>
      <c r="I81" s="12">
        <v>1</v>
      </c>
      <c r="J81" s="32" t="s">
        <v>80</v>
      </c>
      <c r="K81" s="30"/>
      <c r="L81" s="30"/>
      <c r="M81" s="31"/>
    </row>
    <row r="82" spans="4:13" ht="15" customHeight="1" x14ac:dyDescent="0.3">
      <c r="D82" s="20" t="s">
        <v>22</v>
      </c>
      <c r="E82" s="20">
        <f t="shared" si="0"/>
        <v>19.5</v>
      </c>
      <c r="F82" s="21">
        <v>2.8700000000000002E-3</v>
      </c>
      <c r="G82" s="22">
        <f t="array" aca="1" ref="G82" ca="1">Table1[[#This Row],[Cost (USD)]]*_FV($I$88,"Price")</f>
        <v>0.88840850000000005</v>
      </c>
      <c r="I82" s="6">
        <v>0.5</v>
      </c>
      <c r="J82" s="32" t="s">
        <v>81</v>
      </c>
      <c r="K82" s="30"/>
      <c r="L82" s="30"/>
      <c r="M82" s="31"/>
    </row>
    <row r="83" spans="4:13" ht="15" customHeight="1" x14ac:dyDescent="0.3">
      <c r="D83" t="s">
        <v>23</v>
      </c>
      <c r="E83">
        <f t="shared" si="0"/>
        <v>19</v>
      </c>
      <c r="F83" s="19">
        <v>5.67E-2</v>
      </c>
      <c r="G83" s="5">
        <f t="array" aca="1" ref="G83" ca="1">Table1[[#This Row],[Cost (USD)]]*_FV($I$88,"Price")</f>
        <v>17.551485</v>
      </c>
      <c r="I83" s="7">
        <v>0.5</v>
      </c>
      <c r="J83" s="29" t="s">
        <v>82</v>
      </c>
      <c r="K83" s="30"/>
      <c r="L83" s="30"/>
      <c r="M83" s="31"/>
    </row>
    <row r="84" spans="4:13" ht="15" customHeight="1" x14ac:dyDescent="0.3">
      <c r="D84" t="s">
        <v>24</v>
      </c>
      <c r="E84">
        <f t="shared" si="0"/>
        <v>18</v>
      </c>
      <c r="F84" s="19">
        <v>1.6500000000000001E-2</v>
      </c>
      <c r="G84" s="5">
        <f t="array" aca="1" ref="G84" ca="1">Table1[[#This Row],[Cost (USD)]]*_FV($I$88,"Price")</f>
        <v>5.1075750000000006</v>
      </c>
      <c r="I84" s="8">
        <v>-0.5</v>
      </c>
      <c r="J84" s="29" t="s">
        <v>83</v>
      </c>
      <c r="K84" s="30"/>
      <c r="L84" s="30"/>
      <c r="M84" s="31"/>
    </row>
    <row r="85" spans="4:13" ht="15" customHeight="1" x14ac:dyDescent="0.3">
      <c r="D85" t="s">
        <v>25</v>
      </c>
      <c r="E85">
        <f t="shared" si="0"/>
        <v>20</v>
      </c>
      <c r="F85" s="19">
        <v>2.8199999999999999E-2</v>
      </c>
      <c r="G85" s="5">
        <f t="array" aca="1" ref="G85" ca="1">Table1[[#This Row],[Cost (USD)]]*_FV($I$88,"Price")</f>
        <v>8.7293099999999999</v>
      </c>
      <c r="I85" s="9">
        <v>-0.5</v>
      </c>
      <c r="J85" s="29" t="s">
        <v>84</v>
      </c>
      <c r="K85" s="30"/>
      <c r="L85" s="30"/>
      <c r="M85" s="31"/>
    </row>
    <row r="86" spans="4:13" ht="15" customHeight="1" x14ac:dyDescent="0.3">
      <c r="D86" t="s">
        <v>26</v>
      </c>
      <c r="E86">
        <f t="shared" si="0"/>
        <v>21.5</v>
      </c>
      <c r="F86" s="19">
        <v>6.88E-2</v>
      </c>
      <c r="G86" s="5">
        <f t="array" aca="1" ref="G86" ca="1">Table1[[#This Row],[Cost (USD)]]*_FV($I$88,"Price")</f>
        <v>21.297039999999999</v>
      </c>
      <c r="I86" s="10">
        <v>-1</v>
      </c>
      <c r="J86" s="29" t="s">
        <v>85</v>
      </c>
      <c r="K86" s="30"/>
      <c r="L86" s="30"/>
      <c r="M86" s="31"/>
    </row>
    <row r="87" spans="4:13" ht="15" customHeight="1" x14ac:dyDescent="0.3">
      <c r="D87" t="s">
        <v>27</v>
      </c>
      <c r="E87">
        <f t="shared" si="0"/>
        <v>19.5</v>
      </c>
      <c r="F87" s="19">
        <v>4.2799999999999998E-2</v>
      </c>
      <c r="G87" s="5">
        <f t="array" aca="1" ref="G87" ca="1">Table1[[#This Row],[Cost (USD)]]*_FV($I$88,"Price")</f>
        <v>13.24874</v>
      </c>
    </row>
    <row r="88" spans="4:13" ht="15" customHeight="1" x14ac:dyDescent="0.3">
      <c r="D88" t="s">
        <v>28</v>
      </c>
      <c r="E88">
        <f t="shared" si="0"/>
        <v>18.5</v>
      </c>
      <c r="F88" s="19">
        <v>2.12E-2</v>
      </c>
      <c r="G88" s="5">
        <f t="array" aca="1" ref="G88" ca="1">Table1[[#This Row],[Cost (USD)]]*_FV($I$88,"Price")</f>
        <v>6.5624600000000006</v>
      </c>
      <c r="I88" s="11" t="e" vm="1">
        <v>#VALUE!</v>
      </c>
    </row>
    <row r="89" spans="4:13" ht="15" customHeight="1" x14ac:dyDescent="0.3">
      <c r="D89" t="s">
        <v>29</v>
      </c>
      <c r="E89">
        <f t="shared" si="0"/>
        <v>22</v>
      </c>
      <c r="F89" s="19">
        <v>6.2199999999999998E-2</v>
      </c>
      <c r="G89" s="5">
        <f t="array" aca="1" ref="G89" ca="1">Table1[[#This Row],[Cost (USD)]]*_FV($I$88,"Price")</f>
        <v>19.254010000000001</v>
      </c>
    </row>
    <row r="90" spans="4:13" ht="15" customHeight="1" x14ac:dyDescent="0.3">
      <c r="D90" s="20" t="s">
        <v>30</v>
      </c>
      <c r="E90" s="20">
        <f t="shared" si="0"/>
        <v>21</v>
      </c>
      <c r="F90" s="21">
        <v>3.2599999999999999E-3</v>
      </c>
      <c r="G90" s="22">
        <f t="array" aca="1" ref="G90" ca="1">Table1[[#This Row],[Cost (USD)]]*_FV($I$88,"Price")</f>
        <v>1.0091330000000001</v>
      </c>
    </row>
    <row r="91" spans="4:13" ht="15" hidden="1" customHeight="1" x14ac:dyDescent="0.3">
      <c r="D91" t="s">
        <v>31</v>
      </c>
      <c r="E91">
        <f t="shared" si="0"/>
        <v>-22</v>
      </c>
      <c r="F91" s="19">
        <v>9.5699999999999995E-4</v>
      </c>
      <c r="G91" s="5">
        <f t="array" aca="1" ref="G91" ca="1">Table1[[#This Row],[Cost (USD)]]*_FV($I$88,"Price")</f>
        <v>0.29623935000000001</v>
      </c>
    </row>
  </sheetData>
  <mergeCells count="18">
    <mergeCell ref="A2:A12"/>
    <mergeCell ref="J85:M85"/>
    <mergeCell ref="A41:A51"/>
    <mergeCell ref="A54:A64"/>
    <mergeCell ref="B27:B38"/>
    <mergeCell ref="J81:M81"/>
    <mergeCell ref="B53:B64"/>
    <mergeCell ref="A67:A77"/>
    <mergeCell ref="J84:M84"/>
    <mergeCell ref="J83:M83"/>
    <mergeCell ref="B1:B12"/>
    <mergeCell ref="A28:A38"/>
    <mergeCell ref="B40:B51"/>
    <mergeCell ref="B14:B25"/>
    <mergeCell ref="B66:B77"/>
    <mergeCell ref="A15:A25"/>
    <mergeCell ref="J86:M86"/>
    <mergeCell ref="J82:M82"/>
  </mergeCells>
  <pageMargins left="0.25" right="0.25" top="0.75" bottom="0.75" header="0.3" footer="0.3"/>
  <pageSetup paperSize="9" scale="36" fitToWidth="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Amrith Perera</dc:creator>
  <cp:lastModifiedBy>Amrith Perera</cp:lastModifiedBy>
  <cp:lastPrinted>2025-12-28T10:37:03Z</cp:lastPrinted>
  <dcterms:created xsi:type="dcterms:W3CDTF">2025-12-27T09:29:15Z</dcterms:created>
  <dcterms:modified xsi:type="dcterms:W3CDTF">2025-12-28T10:44:54Z</dcterms:modified>
</cp:coreProperties>
</file>