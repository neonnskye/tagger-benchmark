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charmProjects\tagger-benchmark\templates\"/>
    </mc:Choice>
  </mc:AlternateContent>
  <xr:revisionPtr revIDLastSave="0" documentId="13_ncr:1_{2313676E-5C51-4E0E-B5DB-6613D076EF48}" xr6:coauthVersionLast="47" xr6:coauthVersionMax="47" xr10:uidLastSave="{00000000-0000-0000-0000-000000000000}"/>
  <bookViews>
    <workbookView xWindow="-108" yWindow="-108" windowWidth="23256" windowHeight="12456" xr2:uid="{51E90C68-60F7-4D68-B794-0E813A261920}"/>
  </bookViews>
  <sheets>
    <sheet name="Benchma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1" l="1"/>
  <c r="E83" i="1"/>
  <c r="E84" i="1"/>
  <c r="E85" i="1"/>
  <c r="E86" i="1"/>
  <c r="E87" i="1"/>
  <c r="E88" i="1"/>
  <c r="E89" i="1"/>
  <c r="E90" i="1"/>
  <c r="E91" i="1"/>
  <c r="E81" i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81" i="1" a="1"/>
  <c r="G8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<sst xmlns="http://schemas.openxmlformats.org/spreadsheetml/2006/main" count="87" uniqueCount="21">
  <si>
    <t>Gemini 3 Pro</t>
  </si>
  <si>
    <t>Gemini 3 Flash</t>
  </si>
  <si>
    <t>Gemini 2.5 Pro</t>
  </si>
  <si>
    <t>Sonnet 4.5</t>
  </si>
  <si>
    <t>Opus 4.5</t>
  </si>
  <si>
    <t>Grok 4</t>
  </si>
  <si>
    <t>GPT 5</t>
  </si>
  <si>
    <t>GPT 5.2</t>
  </si>
  <si>
    <t>o4 Mini High</t>
  </si>
  <si>
    <t>Deepseek V3.2</t>
  </si>
  <si>
    <t>Deepseek V3 0324</t>
  </si>
  <si>
    <t>LLM</t>
  </si>
  <si>
    <t>Score</t>
  </si>
  <si>
    <t>Cost (USD)</t>
  </si>
  <si>
    <t>Cost (LKR)</t>
  </si>
  <si>
    <t>Gold consensus (80% agree)</t>
  </si>
  <si>
    <t>Tag selected only by this model and relevant</t>
  </si>
  <si>
    <t>Tag in pool but clearly not relevant</t>
  </si>
  <si>
    <t>Tag selected only by 20% and relevant</t>
  </si>
  <si>
    <t>Missing gold status tag</t>
  </si>
  <si>
    <t>Tag not in pool (hallucinated)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</si>
</sst>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0_);_(&quot;$&quot;* \(#,##0.000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Consolas"/>
      <family val="3"/>
    </font>
    <font>
      <b/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2" xfId="0" applyFont="1" applyBorder="1"/>
    <xf numFmtId="0" fontId="5" fillId="0" borderId="3" xfId="0" applyFont="1" applyBorder="1" applyAlignment="1">
      <alignment horizontal="center" vertical="center"/>
    </xf>
    <xf numFmtId="164" fontId="0" fillId="0" borderId="0" xfId="2" applyNumberFormat="1" applyFont="1"/>
    <xf numFmtId="43" fontId="0" fillId="0" borderId="0" xfId="1" applyFont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0" borderId="0" xfId="0" applyFont="1"/>
    <xf numFmtId="0" fontId="0" fillId="7" borderId="1" xfId="0" applyFill="1" applyBorder="1"/>
    <xf numFmtId="0" fontId="0" fillId="0" borderId="1" xfId="0" applyBorder="1"/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1">
    <dxf>
      <numFmt numFmtId="164" formatCode="_(&quot;$&quot;* #,##0.00000_);_(&quot;$&quot;* \(#,##0.000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en-US</v>
    <v>avysyc</v>
    <v>268435456</v>
    <v>1</v>
    <v>Powered by Refinitiv</v>
    <v>0</v>
    <v>USD/LKR</v>
    <v>2</v>
    <v>3</v>
    <v>Finance</v>
    <v>4</v>
    <v>309.85000000000002</v>
    <v>291.7</v>
    <v>0</v>
    <v>0</v>
    <v>LKR</v>
    <v>USD</v>
    <v>Currency Pair</v>
    <v>46017.458391203705</v>
    <v>US Dollar/Sri Lanka Rupee FX Spot Rate</v>
    <v>309.55</v>
    <v>309.55</v>
    <v>USDLKR</v>
    <v>USD/LKR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Instrument type" t="s"/>
    <k n="Last trade time"/>
    <k n="Name" t="s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4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2</v>
      <v>2</v>
      <v>3</v>
      <v>2</v>
      <v>2</v>
      <v>2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Name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m/d/yyyy\ h:mm"/>
    </x:dxf>
    <x:dxf>
      <x:numFmt numFmtId="14" formatCode="0.00%"/>
    </x:dxf>
  </dxfs>
  <richProperties>
    <rPr n="IsTitleField" t="b"/>
    <rPr n="NumberFormat" t="s"/>
  </richProperties>
  <richStyles>
    <rSty>
      <rpv i="0">1</rpv>
    </rSty>
    <rSty dxfid="1">
      <rpv i="1">_-[$Rs.-ta-LK]* #,##0.00_-;-[$Rs.-ta-LK]* #,##0.00_-;_-[$Rs.-ta-LK]* "-"??_-;_-@_-</rpv>
    </rSty>
    <rSty dxfid="3"/>
    <rSty dxfid="2"/>
    <rSty dxfid="0">
      <rpv i="1">0.00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AF116-8C65-460F-B232-25675ED3CEF2}" name="Table1" displayName="Table1" ref="D80:G91" totalsRowShown="0">
  <autoFilter ref="D80:G91" xr:uid="{2D8AF116-8C65-460F-B232-25675ED3CEF2}"/>
  <tableColumns count="4">
    <tableColumn id="1" xr3:uid="{61382201-9403-49E8-8122-513CEDEFF875}" name="LLM"/>
    <tableColumn id="2" xr3:uid="{F3365D47-C49F-443D-93E9-07C28E79D2A1}" name="Score">
      <calculatedColumnFormula>SUM(E2:Z2)+SUM(E15:Z15)+SUM(E28:Z28)+SUM(E41:Z41)+SUM(E54:Z54)+SUM(E67:Z67)</calculatedColumnFormula>
    </tableColumn>
    <tableColumn id="3" xr3:uid="{09071895-9487-4E75-BEAA-348727B82CA7}" name="Cost (USD)" dataDxfId="0" dataCellStyle="Currency"/>
    <tableColumn id="4" xr3:uid="{406643F3-5471-4257-A413-9AB7F0A2A245}" name="Cost (LKR)" dataCellStyle="Comma">
      <calculatedColumnFormula array="1">Table1[[#This Row],[Cost (USD)]]*_FV($I$88,"Price")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08BA-720C-4D63-9631-0B46A1BA1653}">
  <dimension ref="A1:M91"/>
  <sheetViews>
    <sheetView tabSelected="1" topLeftCell="A71" workbookViewId="0">
      <selection activeCell="E91" sqref="E91"/>
    </sheetView>
  </sheetViews>
  <sheetFormatPr defaultRowHeight="14.4" x14ac:dyDescent="0.3"/>
  <cols>
    <col min="1" max="1" width="40.77734375" customWidth="1"/>
    <col min="2" max="2" width="25.77734375" customWidth="1"/>
    <col min="3" max="3" width="5.77734375" customWidth="1"/>
    <col min="4" max="4" width="16.109375" bestFit="1" customWidth="1"/>
    <col min="6" max="6" width="12.21875" bestFit="1" customWidth="1"/>
    <col min="7" max="7" width="11.44140625" customWidth="1"/>
  </cols>
  <sheetData>
    <row r="1" spans="1:4" s="2" customFormat="1" ht="15" customHeight="1" x14ac:dyDescent="0.3">
      <c r="A1" s="4"/>
      <c r="B1" s="17"/>
      <c r="C1"/>
      <c r="D1" s="3"/>
    </row>
    <row r="2" spans="1:4" s="1" customFormat="1" ht="15" customHeight="1" x14ac:dyDescent="0.3">
      <c r="A2" s="15"/>
      <c r="B2" s="18"/>
      <c r="C2"/>
      <c r="D2" s="2" t="s">
        <v>0</v>
      </c>
    </row>
    <row r="3" spans="1:4" s="1" customFormat="1" ht="15" customHeight="1" x14ac:dyDescent="0.3">
      <c r="A3" s="15"/>
      <c r="B3" s="18"/>
      <c r="C3"/>
      <c r="D3" s="2" t="s">
        <v>1</v>
      </c>
    </row>
    <row r="4" spans="1:4" s="1" customFormat="1" ht="15" customHeight="1" x14ac:dyDescent="0.3">
      <c r="A4" s="15"/>
      <c r="B4" s="18"/>
      <c r="C4"/>
      <c r="D4" s="2" t="s">
        <v>2</v>
      </c>
    </row>
    <row r="5" spans="1:4" s="1" customFormat="1" ht="15" customHeight="1" x14ac:dyDescent="0.3">
      <c r="A5" s="15"/>
      <c r="B5" s="18"/>
      <c r="C5"/>
      <c r="D5" s="2" t="s">
        <v>3</v>
      </c>
    </row>
    <row r="6" spans="1:4" s="1" customFormat="1" ht="15" customHeight="1" x14ac:dyDescent="0.3">
      <c r="A6" s="15"/>
      <c r="B6" s="18"/>
      <c r="C6"/>
      <c r="D6" s="2" t="s">
        <v>4</v>
      </c>
    </row>
    <row r="7" spans="1:4" s="1" customFormat="1" ht="15" customHeight="1" x14ac:dyDescent="0.3">
      <c r="A7" s="15"/>
      <c r="B7" s="18"/>
      <c r="C7"/>
      <c r="D7" s="2" t="s">
        <v>5</v>
      </c>
    </row>
    <row r="8" spans="1:4" s="1" customFormat="1" ht="15" customHeight="1" x14ac:dyDescent="0.3">
      <c r="A8" s="15"/>
      <c r="B8" s="18"/>
      <c r="C8"/>
      <c r="D8" s="2" t="s">
        <v>6</v>
      </c>
    </row>
    <row r="9" spans="1:4" s="1" customFormat="1" ht="15" customHeight="1" x14ac:dyDescent="0.3">
      <c r="A9" s="15"/>
      <c r="B9" s="18"/>
      <c r="C9"/>
      <c r="D9" s="2" t="s">
        <v>6</v>
      </c>
    </row>
    <row r="10" spans="1:4" s="1" customFormat="1" ht="15" customHeight="1" x14ac:dyDescent="0.3">
      <c r="A10" s="15"/>
      <c r="B10" s="18"/>
      <c r="C10"/>
      <c r="D10" s="2" t="s">
        <v>8</v>
      </c>
    </row>
    <row r="11" spans="1:4" s="1" customFormat="1" ht="15" customHeight="1" x14ac:dyDescent="0.3">
      <c r="A11" s="15"/>
      <c r="B11" s="18"/>
      <c r="C11"/>
      <c r="D11" s="2" t="s">
        <v>9</v>
      </c>
    </row>
    <row r="12" spans="1:4" s="1" customFormat="1" ht="15" customHeight="1" x14ac:dyDescent="0.3">
      <c r="A12" s="16"/>
      <c r="B12" s="19"/>
      <c r="C12"/>
      <c r="D12" s="2" t="s">
        <v>10</v>
      </c>
    </row>
    <row r="13" spans="1:4" ht="15" customHeight="1" x14ac:dyDescent="0.3"/>
    <row r="14" spans="1:4" s="2" customFormat="1" ht="15" customHeight="1" x14ac:dyDescent="0.3">
      <c r="A14" s="4"/>
      <c r="B14" s="17"/>
      <c r="C14"/>
      <c r="D14" s="3"/>
    </row>
    <row r="15" spans="1:4" s="1" customFormat="1" ht="15" customHeight="1" x14ac:dyDescent="0.3">
      <c r="A15" s="15"/>
      <c r="B15" s="18"/>
      <c r="C15"/>
      <c r="D15" s="2" t="s">
        <v>0</v>
      </c>
    </row>
    <row r="16" spans="1:4" s="1" customFormat="1" ht="15" customHeight="1" x14ac:dyDescent="0.3">
      <c r="A16" s="15"/>
      <c r="B16" s="18"/>
      <c r="C16"/>
      <c r="D16" s="2" t="s">
        <v>1</v>
      </c>
    </row>
    <row r="17" spans="1:4" s="1" customFormat="1" ht="15" customHeight="1" x14ac:dyDescent="0.3">
      <c r="A17" s="15"/>
      <c r="B17" s="18"/>
      <c r="C17"/>
      <c r="D17" s="2" t="s">
        <v>2</v>
      </c>
    </row>
    <row r="18" spans="1:4" s="1" customFormat="1" ht="15" customHeight="1" x14ac:dyDescent="0.3">
      <c r="A18" s="15"/>
      <c r="B18" s="18"/>
      <c r="C18"/>
      <c r="D18" s="2" t="s">
        <v>3</v>
      </c>
    </row>
    <row r="19" spans="1:4" s="1" customFormat="1" ht="15" customHeight="1" x14ac:dyDescent="0.3">
      <c r="A19" s="15"/>
      <c r="B19" s="18"/>
      <c r="C19"/>
      <c r="D19" s="2" t="s">
        <v>4</v>
      </c>
    </row>
    <row r="20" spans="1:4" s="1" customFormat="1" ht="15" customHeight="1" x14ac:dyDescent="0.3">
      <c r="A20" s="15"/>
      <c r="B20" s="18"/>
      <c r="C20"/>
      <c r="D20" s="2" t="s">
        <v>5</v>
      </c>
    </row>
    <row r="21" spans="1:4" s="1" customFormat="1" ht="15" customHeight="1" x14ac:dyDescent="0.3">
      <c r="A21" s="15"/>
      <c r="B21" s="18"/>
      <c r="C21"/>
      <c r="D21" s="2" t="s">
        <v>6</v>
      </c>
    </row>
    <row r="22" spans="1:4" s="1" customFormat="1" ht="15" customHeight="1" x14ac:dyDescent="0.3">
      <c r="A22" s="15"/>
      <c r="B22" s="18"/>
      <c r="C22"/>
      <c r="D22" s="2" t="s">
        <v>7</v>
      </c>
    </row>
    <row r="23" spans="1:4" s="1" customFormat="1" ht="15" customHeight="1" x14ac:dyDescent="0.3">
      <c r="A23" s="15"/>
      <c r="B23" s="18"/>
      <c r="C23"/>
      <c r="D23" s="2" t="s">
        <v>8</v>
      </c>
    </row>
    <row r="24" spans="1:4" s="1" customFormat="1" ht="15" customHeight="1" x14ac:dyDescent="0.3">
      <c r="A24" s="15"/>
      <c r="B24" s="18"/>
      <c r="C24"/>
      <c r="D24" s="2" t="s">
        <v>9</v>
      </c>
    </row>
    <row r="25" spans="1:4" s="1" customFormat="1" ht="15" customHeight="1" x14ac:dyDescent="0.3">
      <c r="A25" s="16"/>
      <c r="B25" s="19"/>
      <c r="C25"/>
      <c r="D25" s="2" t="s">
        <v>10</v>
      </c>
    </row>
    <row r="26" spans="1:4" ht="15" customHeight="1" x14ac:dyDescent="0.3"/>
    <row r="27" spans="1:4" s="2" customFormat="1" ht="15" customHeight="1" x14ac:dyDescent="0.3">
      <c r="A27" s="4"/>
      <c r="B27" s="17"/>
      <c r="C27"/>
      <c r="D27" s="3"/>
    </row>
    <row r="28" spans="1:4" s="1" customFormat="1" ht="15" customHeight="1" x14ac:dyDescent="0.3">
      <c r="A28" s="15"/>
      <c r="B28" s="18"/>
      <c r="C28"/>
      <c r="D28" s="2" t="s">
        <v>0</v>
      </c>
    </row>
    <row r="29" spans="1:4" s="1" customFormat="1" ht="15" customHeight="1" x14ac:dyDescent="0.3">
      <c r="A29" s="15"/>
      <c r="B29" s="18"/>
      <c r="C29"/>
      <c r="D29" s="2" t="s">
        <v>1</v>
      </c>
    </row>
    <row r="30" spans="1:4" s="1" customFormat="1" ht="15" customHeight="1" x14ac:dyDescent="0.3">
      <c r="A30" s="15"/>
      <c r="B30" s="18"/>
      <c r="C30"/>
      <c r="D30" s="2" t="s">
        <v>2</v>
      </c>
    </row>
    <row r="31" spans="1:4" s="1" customFormat="1" ht="15" customHeight="1" x14ac:dyDescent="0.3">
      <c r="A31" s="15"/>
      <c r="B31" s="18"/>
      <c r="C31"/>
      <c r="D31" s="2" t="s">
        <v>3</v>
      </c>
    </row>
    <row r="32" spans="1:4" s="1" customFormat="1" ht="15" customHeight="1" x14ac:dyDescent="0.3">
      <c r="A32" s="15"/>
      <c r="B32" s="18"/>
      <c r="C32"/>
      <c r="D32" s="2" t="s">
        <v>4</v>
      </c>
    </row>
    <row r="33" spans="1:4" s="1" customFormat="1" ht="15" customHeight="1" x14ac:dyDescent="0.3">
      <c r="A33" s="15"/>
      <c r="B33" s="18"/>
      <c r="C33"/>
      <c r="D33" s="2" t="s">
        <v>5</v>
      </c>
    </row>
    <row r="34" spans="1:4" s="1" customFormat="1" ht="15" customHeight="1" x14ac:dyDescent="0.3">
      <c r="A34" s="15"/>
      <c r="B34" s="18"/>
      <c r="C34"/>
      <c r="D34" s="2" t="s">
        <v>6</v>
      </c>
    </row>
    <row r="35" spans="1:4" s="1" customFormat="1" ht="15" customHeight="1" x14ac:dyDescent="0.3">
      <c r="A35" s="15"/>
      <c r="B35" s="18"/>
      <c r="C35"/>
      <c r="D35" s="2" t="s">
        <v>7</v>
      </c>
    </row>
    <row r="36" spans="1:4" s="1" customFormat="1" ht="15" customHeight="1" x14ac:dyDescent="0.3">
      <c r="A36" s="15"/>
      <c r="B36" s="18"/>
      <c r="C36"/>
      <c r="D36" s="2" t="s">
        <v>8</v>
      </c>
    </row>
    <row r="37" spans="1:4" s="1" customFormat="1" ht="15" customHeight="1" x14ac:dyDescent="0.3">
      <c r="A37" s="15"/>
      <c r="B37" s="18"/>
      <c r="C37"/>
      <c r="D37" s="2" t="s">
        <v>9</v>
      </c>
    </row>
    <row r="38" spans="1:4" s="1" customFormat="1" ht="15" customHeight="1" x14ac:dyDescent="0.3">
      <c r="A38" s="16"/>
      <c r="B38" s="19"/>
      <c r="C38"/>
      <c r="D38" s="2" t="s">
        <v>10</v>
      </c>
    </row>
    <row r="39" spans="1:4" ht="15" customHeight="1" x14ac:dyDescent="0.3"/>
    <row r="40" spans="1:4" s="2" customFormat="1" ht="15" customHeight="1" x14ac:dyDescent="0.3">
      <c r="A40" s="4"/>
      <c r="B40" s="17"/>
      <c r="C40"/>
      <c r="D40" s="3"/>
    </row>
    <row r="41" spans="1:4" s="1" customFormat="1" ht="15" customHeight="1" x14ac:dyDescent="0.3">
      <c r="A41" s="15"/>
      <c r="B41" s="18"/>
      <c r="C41"/>
      <c r="D41" s="2" t="s">
        <v>0</v>
      </c>
    </row>
    <row r="42" spans="1:4" s="1" customFormat="1" ht="15" customHeight="1" x14ac:dyDescent="0.3">
      <c r="A42" s="15"/>
      <c r="B42" s="18"/>
      <c r="C42"/>
      <c r="D42" s="2" t="s">
        <v>1</v>
      </c>
    </row>
    <row r="43" spans="1:4" s="1" customFormat="1" ht="15" customHeight="1" x14ac:dyDescent="0.3">
      <c r="A43" s="15"/>
      <c r="B43" s="18"/>
      <c r="C43"/>
      <c r="D43" s="2" t="s">
        <v>2</v>
      </c>
    </row>
    <row r="44" spans="1:4" s="1" customFormat="1" ht="15" customHeight="1" x14ac:dyDescent="0.3">
      <c r="A44" s="15"/>
      <c r="B44" s="18"/>
      <c r="C44"/>
      <c r="D44" s="2" t="s">
        <v>3</v>
      </c>
    </row>
    <row r="45" spans="1:4" s="1" customFormat="1" ht="15" customHeight="1" x14ac:dyDescent="0.3">
      <c r="A45" s="15"/>
      <c r="B45" s="18"/>
      <c r="C45"/>
      <c r="D45" s="2" t="s">
        <v>4</v>
      </c>
    </row>
    <row r="46" spans="1:4" s="1" customFormat="1" ht="15" customHeight="1" x14ac:dyDescent="0.3">
      <c r="A46" s="15"/>
      <c r="B46" s="18"/>
      <c r="C46"/>
      <c r="D46" s="2" t="s">
        <v>5</v>
      </c>
    </row>
    <row r="47" spans="1:4" s="1" customFormat="1" ht="15" customHeight="1" x14ac:dyDescent="0.3">
      <c r="A47" s="15"/>
      <c r="B47" s="18"/>
      <c r="C47"/>
      <c r="D47" s="2" t="s">
        <v>6</v>
      </c>
    </row>
    <row r="48" spans="1:4" s="1" customFormat="1" ht="15" customHeight="1" x14ac:dyDescent="0.3">
      <c r="A48" s="15"/>
      <c r="B48" s="18"/>
      <c r="C48"/>
      <c r="D48" s="2" t="s">
        <v>7</v>
      </c>
    </row>
    <row r="49" spans="1:4" s="1" customFormat="1" ht="15" customHeight="1" x14ac:dyDescent="0.3">
      <c r="A49" s="15"/>
      <c r="B49" s="18"/>
      <c r="C49"/>
      <c r="D49" s="2" t="s">
        <v>8</v>
      </c>
    </row>
    <row r="50" spans="1:4" s="1" customFormat="1" ht="15" customHeight="1" x14ac:dyDescent="0.3">
      <c r="A50" s="15"/>
      <c r="B50" s="18"/>
      <c r="C50"/>
      <c r="D50" s="2" t="s">
        <v>9</v>
      </c>
    </row>
    <row r="51" spans="1:4" s="1" customFormat="1" ht="15" customHeight="1" x14ac:dyDescent="0.3">
      <c r="A51" s="16"/>
      <c r="B51" s="19"/>
      <c r="C51"/>
      <c r="D51" s="2" t="s">
        <v>10</v>
      </c>
    </row>
    <row r="52" spans="1:4" ht="15" customHeight="1" x14ac:dyDescent="0.3"/>
    <row r="53" spans="1:4" s="2" customFormat="1" ht="15" customHeight="1" x14ac:dyDescent="0.3">
      <c r="A53" s="4"/>
      <c r="B53" s="17"/>
      <c r="C53"/>
      <c r="D53" s="3"/>
    </row>
    <row r="54" spans="1:4" s="1" customFormat="1" ht="15" customHeight="1" x14ac:dyDescent="0.3">
      <c r="A54" s="15"/>
      <c r="B54" s="18"/>
      <c r="C54"/>
      <c r="D54" s="2" t="s">
        <v>0</v>
      </c>
    </row>
    <row r="55" spans="1:4" s="1" customFormat="1" ht="15" customHeight="1" x14ac:dyDescent="0.3">
      <c r="A55" s="15"/>
      <c r="B55" s="18"/>
      <c r="C55"/>
      <c r="D55" s="2" t="s">
        <v>1</v>
      </c>
    </row>
    <row r="56" spans="1:4" s="1" customFormat="1" ht="15" customHeight="1" x14ac:dyDescent="0.3">
      <c r="A56" s="15"/>
      <c r="B56" s="18"/>
      <c r="C56"/>
      <c r="D56" s="2" t="s">
        <v>2</v>
      </c>
    </row>
    <row r="57" spans="1:4" s="1" customFormat="1" ht="15" customHeight="1" x14ac:dyDescent="0.3">
      <c r="A57" s="15"/>
      <c r="B57" s="18"/>
      <c r="C57"/>
      <c r="D57" s="2" t="s">
        <v>3</v>
      </c>
    </row>
    <row r="58" spans="1:4" s="1" customFormat="1" ht="15" customHeight="1" x14ac:dyDescent="0.3">
      <c r="A58" s="15"/>
      <c r="B58" s="18"/>
      <c r="C58"/>
      <c r="D58" s="2" t="s">
        <v>4</v>
      </c>
    </row>
    <row r="59" spans="1:4" s="1" customFormat="1" ht="15" customHeight="1" x14ac:dyDescent="0.3">
      <c r="A59" s="15"/>
      <c r="B59" s="18"/>
      <c r="C59"/>
      <c r="D59" s="2" t="s">
        <v>5</v>
      </c>
    </row>
    <row r="60" spans="1:4" s="1" customFormat="1" ht="15" customHeight="1" x14ac:dyDescent="0.3">
      <c r="A60" s="15"/>
      <c r="B60" s="18"/>
      <c r="C60"/>
      <c r="D60" s="2" t="s">
        <v>6</v>
      </c>
    </row>
    <row r="61" spans="1:4" s="1" customFormat="1" ht="15" customHeight="1" x14ac:dyDescent="0.3">
      <c r="A61" s="15"/>
      <c r="B61" s="18"/>
      <c r="C61"/>
      <c r="D61" s="2" t="s">
        <v>7</v>
      </c>
    </row>
    <row r="62" spans="1:4" s="1" customFormat="1" ht="15" customHeight="1" x14ac:dyDescent="0.3">
      <c r="A62" s="15"/>
      <c r="B62" s="18"/>
      <c r="C62"/>
      <c r="D62" s="2" t="s">
        <v>8</v>
      </c>
    </row>
    <row r="63" spans="1:4" s="1" customFormat="1" ht="15" customHeight="1" x14ac:dyDescent="0.3">
      <c r="A63" s="15"/>
      <c r="B63" s="18"/>
      <c r="C63"/>
      <c r="D63" s="2" t="s">
        <v>9</v>
      </c>
    </row>
    <row r="64" spans="1:4" s="1" customFormat="1" ht="15" customHeight="1" x14ac:dyDescent="0.3">
      <c r="A64" s="16"/>
      <c r="B64" s="19"/>
      <c r="C64"/>
      <c r="D64" s="2" t="s">
        <v>10</v>
      </c>
    </row>
    <row r="65" spans="1:7" ht="15" customHeight="1" x14ac:dyDescent="0.3"/>
    <row r="66" spans="1:7" s="2" customFormat="1" ht="15" customHeight="1" x14ac:dyDescent="0.3">
      <c r="A66" s="4"/>
      <c r="B66" s="17"/>
      <c r="C66"/>
      <c r="D66" s="3"/>
    </row>
    <row r="67" spans="1:7" s="1" customFormat="1" ht="15" customHeight="1" x14ac:dyDescent="0.3">
      <c r="A67" s="15"/>
      <c r="B67" s="18"/>
      <c r="C67"/>
      <c r="D67" s="2" t="s">
        <v>0</v>
      </c>
    </row>
    <row r="68" spans="1:7" s="1" customFormat="1" ht="15" customHeight="1" x14ac:dyDescent="0.3">
      <c r="A68" s="15"/>
      <c r="B68" s="18"/>
      <c r="C68"/>
      <c r="D68" s="2" t="s">
        <v>1</v>
      </c>
    </row>
    <row r="69" spans="1:7" s="1" customFormat="1" ht="15" customHeight="1" x14ac:dyDescent="0.3">
      <c r="A69" s="15"/>
      <c r="B69" s="18"/>
      <c r="C69"/>
      <c r="D69" s="2" t="s">
        <v>2</v>
      </c>
    </row>
    <row r="70" spans="1:7" s="1" customFormat="1" ht="15" customHeight="1" x14ac:dyDescent="0.3">
      <c r="A70" s="15"/>
      <c r="B70" s="18"/>
      <c r="C70"/>
      <c r="D70" s="2" t="s">
        <v>3</v>
      </c>
    </row>
    <row r="71" spans="1:7" s="1" customFormat="1" ht="15" customHeight="1" x14ac:dyDescent="0.3">
      <c r="A71" s="15"/>
      <c r="B71" s="18"/>
      <c r="C71"/>
      <c r="D71" s="2" t="s">
        <v>4</v>
      </c>
    </row>
    <row r="72" spans="1:7" s="1" customFormat="1" ht="15" customHeight="1" x14ac:dyDescent="0.3">
      <c r="A72" s="15"/>
      <c r="B72" s="18"/>
      <c r="C72"/>
      <c r="D72" s="2" t="s">
        <v>5</v>
      </c>
    </row>
    <row r="73" spans="1:7" s="1" customFormat="1" ht="15" customHeight="1" x14ac:dyDescent="0.3">
      <c r="A73" s="15"/>
      <c r="B73" s="18"/>
      <c r="C73"/>
      <c r="D73" s="2" t="s">
        <v>6</v>
      </c>
    </row>
    <row r="74" spans="1:7" s="1" customFormat="1" ht="15" customHeight="1" x14ac:dyDescent="0.3">
      <c r="A74" s="15"/>
      <c r="B74" s="18"/>
      <c r="C74"/>
      <c r="D74" s="2" t="s">
        <v>7</v>
      </c>
    </row>
    <row r="75" spans="1:7" s="1" customFormat="1" ht="15" customHeight="1" x14ac:dyDescent="0.3">
      <c r="A75" s="15"/>
      <c r="B75" s="18"/>
      <c r="C75"/>
      <c r="D75" s="2" t="s">
        <v>8</v>
      </c>
    </row>
    <row r="76" spans="1:7" s="1" customFormat="1" ht="15" customHeight="1" x14ac:dyDescent="0.3">
      <c r="A76" s="15"/>
      <c r="B76" s="18"/>
      <c r="C76"/>
      <c r="D76" s="2" t="s">
        <v>9</v>
      </c>
    </row>
    <row r="77" spans="1:7" s="1" customFormat="1" ht="15" customHeight="1" x14ac:dyDescent="0.3">
      <c r="A77" s="16"/>
      <c r="B77" s="19"/>
      <c r="C77"/>
      <c r="D77" s="2" t="s">
        <v>10</v>
      </c>
    </row>
    <row r="78" spans="1:7" ht="15" customHeight="1" x14ac:dyDescent="0.3"/>
    <row r="79" spans="1:7" ht="15" customHeight="1" x14ac:dyDescent="0.3"/>
    <row r="80" spans="1:7" ht="15" customHeight="1" x14ac:dyDescent="0.3">
      <c r="D80" t="s">
        <v>11</v>
      </c>
      <c r="E80" t="s">
        <v>12</v>
      </c>
      <c r="F80" t="s">
        <v>13</v>
      </c>
      <c r="G80" t="s">
        <v>14</v>
      </c>
    </row>
    <row r="81" spans="4:13" ht="15" customHeight="1" x14ac:dyDescent="0.3">
      <c r="D81" t="s">
        <v>0</v>
      </c>
      <c r="E81">
        <f>SUM(E2:Z2)+SUM(E15:Z15)+SUM(E28:Z28)+SUM(E41:Z41)+SUM(E54:Z54)+SUM(E67:Z67)</f>
        <v>0</v>
      </c>
      <c r="F81" s="5">
        <v>0</v>
      </c>
      <c r="G81" s="6" cm="1">
        <f t="array" aca="1" ref="G81" ca="1">Table1[[#This Row],[Cost (USD)]]*_FV($I$88,"Price")</f>
        <v>0</v>
      </c>
      <c r="I81" s="13">
        <v>1</v>
      </c>
      <c r="J81" s="14" t="s">
        <v>15</v>
      </c>
      <c r="K81" s="14"/>
      <c r="L81" s="14"/>
      <c r="M81" s="14"/>
    </row>
    <row r="82" spans="4:13" ht="15" customHeight="1" x14ac:dyDescent="0.3">
      <c r="D82" t="s">
        <v>1</v>
      </c>
      <c r="E82">
        <f>SUM(E3:Z3)+SUM(E16:Z16)+SUM(E29:Z29)+SUM(E42:Z42)+SUM(E55:Z55)+SUM(E68:Z68)</f>
        <v>0</v>
      </c>
      <c r="F82" s="5">
        <v>0</v>
      </c>
      <c r="G82" s="6" cm="1">
        <f t="array" aca="1" ref="G82" ca="1">Table1[[#This Row],[Cost (USD)]]*_FV($I$88,"Price")</f>
        <v>0</v>
      </c>
      <c r="I82" s="7">
        <v>0.5</v>
      </c>
      <c r="J82" s="14" t="s">
        <v>18</v>
      </c>
      <c r="K82" s="14"/>
      <c r="L82" s="14"/>
      <c r="M82" s="14"/>
    </row>
    <row r="83" spans="4:13" ht="15" customHeight="1" x14ac:dyDescent="0.3">
      <c r="D83" t="s">
        <v>2</v>
      </c>
      <c r="E83">
        <f>SUM(E4:Z4)+SUM(E17:Z17)+SUM(E30:Z30)+SUM(E43:Z43)+SUM(E56:Z56)+SUM(E69:Z69)</f>
        <v>0</v>
      </c>
      <c r="F83" s="5">
        <v>0</v>
      </c>
      <c r="G83" s="6" cm="1">
        <f t="array" aca="1" ref="G83" ca="1">Table1[[#This Row],[Cost (USD)]]*_FV($I$88,"Price")</f>
        <v>0</v>
      </c>
      <c r="I83" s="8">
        <v>0.5</v>
      </c>
      <c r="J83" s="14" t="s">
        <v>16</v>
      </c>
      <c r="K83" s="14"/>
      <c r="L83" s="14"/>
      <c r="M83" s="14"/>
    </row>
    <row r="84" spans="4:13" ht="15" customHeight="1" x14ac:dyDescent="0.3">
      <c r="D84" t="s">
        <v>3</v>
      </c>
      <c r="E84">
        <f>SUM(E5:Z5)+SUM(E18:Z18)+SUM(E31:Z31)+SUM(E44:Z44)+SUM(E57:Z57)+SUM(E70:Z70)</f>
        <v>0</v>
      </c>
      <c r="F84" s="5">
        <v>0</v>
      </c>
      <c r="G84" s="6" cm="1">
        <f t="array" aca="1" ref="G84" ca="1">Table1[[#This Row],[Cost (USD)]]*_FV($I$88,"Price")</f>
        <v>0</v>
      </c>
      <c r="I84" s="9">
        <v>-0.5</v>
      </c>
      <c r="J84" s="14" t="s">
        <v>19</v>
      </c>
      <c r="K84" s="14"/>
      <c r="L84" s="14"/>
      <c r="M84" s="14"/>
    </row>
    <row r="85" spans="4:13" ht="15" customHeight="1" x14ac:dyDescent="0.3">
      <c r="D85" t="s">
        <v>4</v>
      </c>
      <c r="E85">
        <f>SUM(E6:Z6)+SUM(E19:Z19)+SUM(E32:Z32)+SUM(E45:Z45)+SUM(E58:Z58)+SUM(E71:Z71)</f>
        <v>0</v>
      </c>
      <c r="F85" s="5">
        <v>0</v>
      </c>
      <c r="G85" s="6" cm="1">
        <f t="array" aca="1" ref="G85" ca="1">Table1[[#This Row],[Cost (USD)]]*_FV($I$88,"Price")</f>
        <v>0</v>
      </c>
      <c r="I85" s="10">
        <v>-0.5</v>
      </c>
      <c r="J85" s="14" t="s">
        <v>17</v>
      </c>
      <c r="K85" s="14"/>
      <c r="L85" s="14"/>
      <c r="M85" s="14"/>
    </row>
    <row r="86" spans="4:13" ht="15" customHeight="1" x14ac:dyDescent="0.3">
      <c r="D86" t="s">
        <v>5</v>
      </c>
      <c r="E86">
        <f>SUM(E7:Z7)+SUM(E20:Z20)+SUM(E33:Z33)+SUM(E46:Z46)+SUM(E59:Z59)+SUM(E72:Z72)</f>
        <v>0</v>
      </c>
      <c r="F86" s="5">
        <v>0</v>
      </c>
      <c r="G86" s="6" cm="1">
        <f t="array" aca="1" ref="G86" ca="1">Table1[[#This Row],[Cost (USD)]]*_FV($I$88,"Price")</f>
        <v>0</v>
      </c>
      <c r="I86" s="11">
        <v>-1</v>
      </c>
      <c r="J86" s="14" t="s">
        <v>20</v>
      </c>
      <c r="K86" s="14"/>
      <c r="L86" s="14"/>
      <c r="M86" s="14"/>
    </row>
    <row r="87" spans="4:13" ht="15" customHeight="1" x14ac:dyDescent="0.3">
      <c r="D87" t="s">
        <v>6</v>
      </c>
      <c r="E87">
        <f>SUM(E8:Z8)+SUM(E21:Z21)+SUM(E34:Z34)+SUM(E47:Z47)+SUM(E60:Z60)+SUM(E73:Z73)</f>
        <v>0</v>
      </c>
      <c r="F87" s="5">
        <v>0</v>
      </c>
      <c r="G87" s="6" cm="1">
        <f t="array" aca="1" ref="G87" ca="1">Table1[[#This Row],[Cost (USD)]]*_FV($I$88,"Price")</f>
        <v>0</v>
      </c>
    </row>
    <row r="88" spans="4:13" ht="15" customHeight="1" x14ac:dyDescent="0.3">
      <c r="D88" t="s">
        <v>7</v>
      </c>
      <c r="E88">
        <f>SUM(E9:Z9)+SUM(E22:Z22)+SUM(E35:Z35)+SUM(E48:Z48)+SUM(E61:Z61)+SUM(E74:Z74)</f>
        <v>0</v>
      </c>
      <c r="F88" s="5">
        <v>0</v>
      </c>
      <c r="G88" s="6" cm="1">
        <f t="array" aca="1" ref="G88" ca="1">Table1[[#This Row],[Cost (USD)]]*_FV($I$88,"Price")</f>
        <v>0</v>
      </c>
      <c r="I88" s="12" t="e" vm="1">
        <v>#VALUE!</v>
      </c>
    </row>
    <row r="89" spans="4:13" ht="15" customHeight="1" x14ac:dyDescent="0.3">
      <c r="D89" t="s">
        <v>8</v>
      </c>
      <c r="E89">
        <f>SUM(E10:Z10)+SUM(E23:Z23)+SUM(E36:Z36)+SUM(E49:Z49)+SUM(E62:Z62)+SUM(E75:Z75)</f>
        <v>0</v>
      </c>
      <c r="F89" s="5">
        <v>0</v>
      </c>
      <c r="G89" s="6" cm="1">
        <f t="array" aca="1" ref="G89" ca="1">Table1[[#This Row],[Cost (USD)]]*_FV($I$88,"Price")</f>
        <v>0</v>
      </c>
    </row>
    <row r="90" spans="4:13" ht="15" customHeight="1" x14ac:dyDescent="0.3">
      <c r="D90" t="s">
        <v>9</v>
      </c>
      <c r="E90">
        <f>SUM(E11:Z11)+SUM(E24:Z24)+SUM(E37:Z37)+SUM(E50:Z50)+SUM(E63:Z63)+SUM(E76:Z76)</f>
        <v>0</v>
      </c>
      <c r="F90" s="5">
        <v>0</v>
      </c>
      <c r="G90" s="6" cm="1">
        <f t="array" aca="1" ref="G90" ca="1">Table1[[#This Row],[Cost (USD)]]*_FV($I$88,"Price")</f>
        <v>0</v>
      </c>
    </row>
    <row r="91" spans="4:13" ht="15" customHeight="1" x14ac:dyDescent="0.3">
      <c r="D91" t="s">
        <v>10</v>
      </c>
      <c r="E91">
        <f>SUM(E12:Z12)+SUM(E25:Z25)+SUM(E38:Z38)+SUM(E51:Z51)+SUM(E64:Z64)+SUM(E77:Z77)</f>
        <v>0</v>
      </c>
      <c r="F91" s="5">
        <v>0</v>
      </c>
      <c r="G91" s="6" cm="1">
        <f t="array" aca="1" ref="G91" ca="1">Table1[[#This Row],[Cost (USD)]]*_FV($I$88,"Price")</f>
        <v>0</v>
      </c>
    </row>
  </sheetData>
  <mergeCells count="18">
    <mergeCell ref="J82:M82"/>
    <mergeCell ref="J83:M83"/>
    <mergeCell ref="J84:M84"/>
    <mergeCell ref="J85:M85"/>
    <mergeCell ref="J86:M86"/>
    <mergeCell ref="A2:A12"/>
    <mergeCell ref="A15:A25"/>
    <mergeCell ref="A28:A38"/>
    <mergeCell ref="A41:A51"/>
    <mergeCell ref="A54:A64"/>
    <mergeCell ref="A67:A77"/>
    <mergeCell ref="B1:B12"/>
    <mergeCell ref="B14:B25"/>
    <mergeCell ref="B27:B38"/>
    <mergeCell ref="B40:B51"/>
    <mergeCell ref="B53:B64"/>
    <mergeCell ref="B66:B77"/>
    <mergeCell ref="J81:M8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Amrith Perera</dc:creator>
  <cp:lastModifiedBy>Amrith Perera</cp:lastModifiedBy>
  <dcterms:created xsi:type="dcterms:W3CDTF">2025-12-27T09:29:15Z</dcterms:created>
  <dcterms:modified xsi:type="dcterms:W3CDTF">2025-12-27T15:54:54Z</dcterms:modified>
</cp:coreProperties>
</file>