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PycharmProjects\tagger-benchmark\templates\"/>
    </mc:Choice>
  </mc:AlternateContent>
  <xr:revisionPtr revIDLastSave="0" documentId="13_ncr:1_{3B46BCF2-8D92-4C63-B81C-F52C7E2C9175}" xr6:coauthVersionLast="47" xr6:coauthVersionMax="47" xr10:uidLastSave="{00000000-0000-0000-0000-000000000000}"/>
  <bookViews>
    <workbookView xWindow="-108" yWindow="-108" windowWidth="23256" windowHeight="12456" xr2:uid="{51E90C68-60F7-4D68-B794-0E813A261920}"/>
  </bookViews>
  <sheets>
    <sheet name="Benchmark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8" i="1" l="1"/>
  <c r="E89" i="1"/>
  <c r="E90" i="1"/>
  <c r="E91" i="1"/>
  <c r="E92" i="1"/>
  <c r="E93" i="1"/>
  <c r="E94" i="1"/>
  <c r="E95" i="1"/>
  <c r="E96" i="1"/>
  <c r="E97" i="1"/>
  <c r="E98" i="1"/>
  <c r="E87" i="1"/>
  <c r="G88" i="1" a="1"/>
  <c r="G88" i="1" s="1"/>
  <c r="G89" i="1" a="1"/>
  <c r="G89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97" i="1" a="1"/>
  <c r="G97" i="1" s="1"/>
  <c r="G98" i="1" a="1"/>
  <c r="G98" i="1" s="1"/>
  <c r="G87" i="1" a="1"/>
  <c r="G87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7"/>
        </ext>
      </extLst>
    </bk>
  </futureMetadata>
  <cellMetadata count="1">
    <bk>
      <rc t="1" v="0"/>
    </bk>
  </cellMetadata>
  <valueMetadata count="7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</valueMetadata>
</metadata>
</file>

<file path=xl/sharedStrings.xml><?xml version="1.0" encoding="utf-8"?>
<sst xmlns="http://schemas.openxmlformats.org/spreadsheetml/2006/main" count="106" uniqueCount="34">
  <si>
    <t>Gemini 3 Pro</t>
  </si>
  <si>
    <t>Gemini 3 Flash</t>
  </si>
  <si>
    <t>Gemini 2.5 Pro</t>
  </si>
  <si>
    <t>Sonnet 4.5</t>
  </si>
  <si>
    <t>Opus 4.5</t>
  </si>
  <si>
    <t>Grok 4</t>
  </si>
  <si>
    <t>GPT 5</t>
  </si>
  <si>
    <t>GPT 5.2</t>
  </si>
  <si>
    <t>o4 Mini High</t>
  </si>
  <si>
    <t>Deepseek V3.2</t>
  </si>
  <si>
    <t>Deepseek V3 0324</t>
  </si>
  <si>
    <t>Deepseek R1 0528</t>
  </si>
  <si>
    <t>1girl (0.99), dress (0.97), solo (0.95), black_hair (0.91), head_out_of_frame (0.85), jewelry (0.80), necklace (0.80), long_hair (0.75), bare_shoulders (0.67), outdoors (0.64), see-through (0.62), flower (0.60), plant (0.57), long_sleeves (0.54), standing (0.54), grass (0.50), white_dress (0.47), blue_dress (0.45), off_shoulder (0.42)</t>
  </si>
  <si>
    <t>solo (0.96), phone (0.96), 1girl (0.92), holding_phone (0.92), skirt (0.91), holding (0.89), black_footwear (0.89), cellphone (0.87), plant (0.81), standing (0.79), smartphone (0.78), bag (0.74), black_hair (0.74), full_body (0.70), jewelry (0.69), black_skirt (0.67), potted_plant (0.67), black_bag (0.67), boots (0.66), long_sleeves (0.66), earrings (0.62), black_nails (0.60), short_hair (0.60), outdoors (0.57), pants (0.57), jacket (0.53), asian (0.49), closed_mouth (0.47), long_skirt (0.46), jeans (0.43), shirt (0.42), indoors (0.42), hands_up (0.39), nail_polish (0.38), ring (0.38), shoes (0.36), looking_at_viewer (0.36)</t>
  </si>
  <si>
    <t>head_out_of_frame (0.98), phone (0.96), holding_phone (0.88), solo (0.87), jewelry (0.87), necklace (0.85), cellphone (0.85), holding (0.82), pants (0.71), shirt (0.70), male_focus (0.69), long_sleeves (0.69), 1boy (0.67), smartphone (0.61), indoors (0.57), shirt_tucked_in (0.56), selfie (0.53), belt (0.50), beads (0.44), brown_pants (0.40), puffy_long_sleeves (0.40), see-through (0.38), puffy_sleeves (0.38)</t>
  </si>
  <si>
    <t>1girl (0.96), solo (0.94), phone (0.93), holding (0.87), holding_phone (0.83), cellphone (0.77), selfie (0.75), pants (0.75), short_hair (0.64), white_pants (0.63), long_sleeves (0.62), bag (0.59), black_hair (0.54), indoors (0.51), standing (0.45), smartphone (0.45), sleeves_past_wrists (0.42), pink_sweater (0.42), sweater (0.41), hand_up (0.39), shoulder_bag (0.39), shirt (0.38)</t>
  </si>
  <si>
    <t>1girl (0.97), outdoors (0.87), shirt (0.87), skirt (0.86), solo (0.86), black_footwear (0.80), boots (0.77), sky (0.76), fence (0.74), blonde_hair (0.70), black_shirt (0.66), cloud (0.63), t-shirt (0.62), jewelry (0.56), day (0.55), necklace (0.53), short_sleeves (0.52), blue_sky (0.49), white_skirt (0.46), medium_hair (0.45), from_below (0.45), print_shirt (0.42), see-through (0.41), chain-link_fence (0.35)</t>
  </si>
  <si>
    <t>skirt (0.94), solo (0.93), realistic (0.93), jacket (0.90), photorealistic (0.84), 1girl (0.82), outdoors (0.81), socks (0.79), black_hair (0.76), black_footwear (0.73), asian (0.70), white_socks (0.66), short_hair (0.65), shoes (0.65), pleated_skirt (0.65), shirt (0.63), black_skirt (0.63), blue_sky (0.60), shadow (0.59), full_body (0.59), sky (0.58), standing (0.55), day (0.53), yellow_shirt (0.52), long_sleeves (0.46), sweater (0.46), black_jacket (0.40), yellow_sweater (0.38), open_clothes (0.37), open_jacket (0.35), walking (0.35)</t>
  </si>
  <si>
    <t>"Mui..♡"</t>
  </si>
  <si>
    <t>"🩶⌨️🎧💿"</t>
  </si>
  <si>
    <t>"Alternative elf"</t>
  </si>
  <si>
    <t>"💫"</t>
  </si>
  <si>
    <t>"Fashion inspo - crochet maxi skirt"</t>
  </si>
  <si>
    <t>"death by thrifting"</t>
  </si>
  <si>
    <t>LLM</t>
  </si>
  <si>
    <t>Score</t>
  </si>
  <si>
    <t>Cost (USD)</t>
  </si>
  <si>
    <t>Cost (LKR)</t>
  </si>
  <si>
    <t>Gold consensus (80% agree)</t>
  </si>
  <si>
    <t>Tag selected only by this model and relevant</t>
  </si>
  <si>
    <t>Tag in pool but clearly not relevant</t>
  </si>
  <si>
    <t>Tag hallucinated</t>
  </si>
  <si>
    <t>Tag selected only by 20% and relevant</t>
  </si>
  <si>
    <t>Missing gold status tag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</si>
</sst>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71" formatCode="_(&quot;$&quot;* #,##0.00000_);_(&quot;$&quot;* \(#,##0.00000\);_(&quot;$&quot;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Consolas"/>
      <family val="3"/>
    </font>
    <font>
      <b/>
      <sz val="10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1"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0" borderId="2" xfId="0" applyFont="1" applyBorder="1"/>
    <xf numFmtId="0" fontId="0" fillId="0" borderId="0" xfId="0" applyBorder="1"/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4" fillId="0" borderId="4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5" fillId="0" borderId="3" xfId="0" applyFont="1" applyBorder="1" applyAlignment="1">
      <alignment horizontal="center" vertical="center"/>
    </xf>
    <xf numFmtId="171" fontId="0" fillId="0" borderId="0" xfId="2" applyNumberFormat="1" applyFont="1"/>
    <xf numFmtId="43" fontId="0" fillId="0" borderId="0" xfId="1" applyFont="1"/>
    <xf numFmtId="0" fontId="0" fillId="4" borderId="1" xfId="0" applyFill="1" applyBorder="1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5" borderId="1" xfId="0" applyFill="1" applyBorder="1"/>
    <xf numFmtId="0" fontId="0" fillId="6" borderId="1" xfId="0" applyFill="1" applyBorder="1"/>
    <xf numFmtId="0" fontId="3" fillId="0" borderId="0" xfId="0" applyFont="1"/>
    <xf numFmtId="0" fontId="0" fillId="7" borderId="1" xfId="0" applyFill="1" applyBorder="1"/>
  </cellXfs>
  <cellStyles count="3">
    <cellStyle name="Comma" xfId="1" builtinId="3"/>
    <cellStyle name="Currency" xfId="2" builtinId="4"/>
    <cellStyle name="Normal" xfId="0" builtinId="0"/>
  </cellStyles>
  <dxfs count="1">
    <dxf>
      <numFmt numFmtId="171" formatCode="_(&quot;$&quot;* #,##0.00000_);_(&quot;$&quot;* \(#,##0.00000\);_(&quot;$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13" Type="http://schemas.openxmlformats.org/officeDocument/2006/relationships/calcChain" Target="calcChain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microsoft.com/office/2017/06/relationships/rdRichValueTypes" Target="richData/rdRichValueTyp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microsoft.com/office/2017/06/relationships/rdSupportingPropertyBag" Target="richData/rdsupportingpropertybag.xml"/><Relationship Id="rId5" Type="http://schemas.openxmlformats.org/officeDocument/2006/relationships/sheetMetadata" Target="metadata.xml"/><Relationship Id="rId10" Type="http://schemas.microsoft.com/office/2017/06/relationships/rdSupportingPropertyBagStructure" Target="richData/rdsupportingpropertybagstructure.xml"/><Relationship Id="rId4" Type="http://schemas.openxmlformats.org/officeDocument/2006/relationships/sharedStrings" Target="sharedStrings.xml"/><Relationship Id="rId9" Type="http://schemas.microsoft.com/office/2017/06/relationships/richStyles" Target="richData/richStyles.xml"/></Relationships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linkedentity">
      <keyFlags>
        <key name="%cvi">
          <flag name="ShowInCardView" value="0"/>
          <flag name="ShowInDotNotation" value="0"/>
          <flag name="ShowInAutoComplete" value="0"/>
          <flag name="ExcludeFromCalcComparison" value="1"/>
        </key>
      </keyFlags>
    </type>
    <type name="_linkedentitycore">
      <keyFlags>
        <key name="%EntityServiceId">
          <flag name="ShowInCardView" value="0"/>
          <flag name="ShowInDotNotation" value="0"/>
          <flag name="ShowInAutoComplete" value="0"/>
        </key>
        <key name="%EntitySubDomainId">
          <flag name="ShowInCardView" value="0"/>
          <flag name="ShowInDotNotation" value="0"/>
          <flag name="ShowInAutoComplete" value="0"/>
        </key>
        <key name="%EntityCulture">
          <flag name="ShowInCardView" value="0"/>
          <flag name="ShowInDotNotation" value="0"/>
          <flag name="ShowInAutoComplete" value="0"/>
        </key>
        <key name="%EntityId">
          <flag name="ShowInCardView" value="0"/>
          <flag name="ShowInDotNotation" value="0"/>
          <flag name="ShowInAutoComplete" value="0"/>
        </key>
        <key name="%IsRefreshable">
          <flag name="ShowInCardView" value="0"/>
          <flag name="ShowInAutoComplete" value="0"/>
          <flag name="ExcludeFromCalcComparison" value="1"/>
        </key>
        <key name="%ProviderInfo">
          <flag name="ShowInCardView" value="0"/>
          <flag name="ShowInDotNotation" value="0"/>
          <flag name="ShowInAutoComplete" value="0"/>
        </key>
        <key name="%DataProviderExternalLinkLogo">
          <flag name="ShowInCardView" value="0"/>
          <flag name="ShowInDotNotation" value="0"/>
          <flag name="ShowInAutoComplete" value="0"/>
        </key>
        <key name="%DataProviderExternalLink">
          <flag name="ShowInCardView" value="0"/>
          <flag name="ShowInDotNotation" value="0"/>
          <flag name="ShowInAutoComplete" value="0"/>
        </key>
        <key name="%OutdatedReason">
          <flag name="ShowInCardView" value="0"/>
          <flag name="ShowInDotNotation" value="0"/>
          <flag name="ShowInAutoComplete" value="0"/>
          <flag name="ExcludeFromCalcComparison" value="1"/>
        </key>
      </keyFlags>
    </type>
  </types>
</rvTypesInfo>
</file>

<file path=xl/richData/rdrichvalue.xml><?xml version="1.0" encoding="utf-8"?>
<rvData xmlns="http://schemas.microsoft.com/office/spreadsheetml/2017/richdata" count="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1">
    <v>en-US</v>
    <v>avysyc</v>
    <v>268435456</v>
    <v>1</v>
    <v>Powered by Refinitiv</v>
    <v>0</v>
    <v>USD/LKR</v>
    <v>2</v>
    <v>3</v>
    <v>Finance</v>
    <v>4</v>
    <v>309.85000000000002</v>
    <v>291.7</v>
    <v>0</v>
    <v>0</v>
    <v>LKR</v>
    <v>USD</v>
    <v>Currency Pair</v>
    <v>46017.458391203705</v>
    <v>US Dollar/Sri Lanka Rupee FX Spot Rate</v>
    <v>309.55</v>
    <v>309.55</v>
    <v>USDLKR</v>
    <v>USD/LKR</v>
  </rv>
  <rv s="2">
    <v>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linkedentitycore">
    <k n="%EntityCulture" t="s"/>
    <k n="%EntityId" t="s"/>
    <k n="%EntityServiceId"/>
    <k n="%IsRefreshable" t="b"/>
    <k n="%ProviderInfo" t="s"/>
    <k n="_Display" t="spb"/>
    <k n="_DisplayString" t="s"/>
    <k n="_Flags" t="spb"/>
    <k n="_Format" t="spb"/>
    <k n="_Icon" t="s"/>
    <k n="_SubLabel" t="spb"/>
    <k n="52 week high"/>
    <k n="52 week low"/>
    <k n="Change"/>
    <k n="Change (%)"/>
    <k n="Currency" t="s"/>
    <k n="From currency" t="s"/>
    <k n="Instrument type" t="s"/>
    <k n="Last trade time"/>
    <k n="Name" t="s"/>
    <k n="Previous close"/>
    <k n="Price"/>
    <k n="Ticker symbol" t="s"/>
    <k n="UniqueName" t="s"/>
  </s>
  <s t="_linkedentity">
    <k n="%cvi" t="r"/>
  </s>
</rvStructures>
</file>

<file path=xl/richData/rdsupportingpropertybag.xml><?xml version="1.0" encoding="utf-8"?>
<supportingPropertyBags xmlns="http://schemas.microsoft.com/office/spreadsheetml/2017/richdata2">
  <spbArrays count="1">
    <a count="24">
      <v t="s">%EntityServiceId</v>
      <v t="s">_Format</v>
      <v t="s">%IsRefreshable</v>
      <v t="s">%EntityCulture</v>
      <v t="s">%EntityId</v>
      <v t="s">_Icon</v>
      <v t="s">_Display</v>
      <v t="s">Name</v>
      <v t="s">Price</v>
      <v t="s">_SubLabel</v>
      <v t="s">Last trade time</v>
      <v t="s">Ticker symbol</v>
      <v t="s">Change</v>
      <v t="s">Change (%)</v>
      <v t="s">Currency</v>
      <v t="s">From currency</v>
      <v t="s">Previous close</v>
      <v t="s">52 week high</v>
      <v t="s">52 week low</v>
      <v t="s">Instrument type</v>
      <v t="s">_Flags</v>
      <v t="s">UniqueName</v>
      <v t="s">_DisplayString</v>
      <v t="s">%ProviderInfo</v>
    </a>
  </spbArrays>
  <spbData count="5">
    <spb s="0">
      <v>0</v>
      <v>Name</v>
    </spb>
    <spb s="1">
      <v>0</v>
      <v>0</v>
      <v>0</v>
    </spb>
    <spb s="2">
      <v>1</v>
      <v>1</v>
    </spb>
    <spb s="3">
      <v>1</v>
      <v>2</v>
      <v>2</v>
      <v>3</v>
      <v>2</v>
      <v>2</v>
      <v>2</v>
      <v>4</v>
      <v>5</v>
    </spb>
    <spb s="4">
      <v>GMT</v>
    </spb>
  </spbData>
</supportingPropertyBags>
</file>

<file path=xl/richData/rdsupportingpropertybagstructure.xml><?xml version="1.0" encoding="utf-8"?>
<spbStructures xmlns="http://schemas.microsoft.com/office/spreadsheetml/2017/richdata2" count="5">
  <s>
    <k n="^Order" t="spba"/>
    <k n="TitleProperty" t="s"/>
  </s>
  <s>
    <k n="ShowInCardView" t="b"/>
    <k n="ShowInDotNotation" t="b"/>
    <k n="ShowInAutoComplete" t="b"/>
  </s>
  <s>
    <k n="UniqueName" t="spb"/>
    <k n="`%ProviderInfo" t="spb"/>
  </s>
  <s>
    <k n="Name" t="i"/>
    <k n="Price" t="i"/>
    <k n="Change" t="i"/>
    <k n="Change (%)" t="i"/>
    <k n="52 week low" t="i"/>
    <k n="52 week high" t="i"/>
    <k n="Previous close" t="i"/>
    <k n="Last trade time" t="i"/>
    <k n="`%EntityServiceId" t="i"/>
  </s>
  <s>
    <k n="Last trade ti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4">
    <x:dxf>
      <x:numFmt numFmtId="2" formatCode="0.00"/>
    </x:dxf>
    <x:dxf>
      <x:numFmt numFmtId="0" formatCode="General"/>
    </x:dxf>
    <x:dxf>
      <x:numFmt numFmtId="27" formatCode="m/d/yyyy\ h:mm"/>
    </x:dxf>
    <x:dxf>
      <x:numFmt numFmtId="14" formatCode="0.00%"/>
    </x:dxf>
  </dxfs>
  <richProperties>
    <rPr n="IsTitleField" t="b"/>
    <rPr n="NumberFormat" t="s"/>
  </richProperties>
  <richStyles>
    <rSty>
      <rpv i="0">1</rpv>
    </rSty>
    <rSty dxfid="1">
      <rpv i="1">_-[$Rs.-ta-LK]* #,##0.00_-;-[$Rs.-ta-LK]* #,##0.00_-;_-[$Rs.-ta-LK]* "-"??_-;_-@_-</rpv>
    </rSty>
    <rSty dxfid="3"/>
    <rSty dxfid="2"/>
    <rSty dxfid="0">
      <rpv i="1">0.00</rpv>
    </rSty>
  </richStyles>
</richStyleSheet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8AF116-8C65-460F-B232-25675ED3CEF2}" name="Table1" displayName="Table1" ref="D86:G98" totalsRowShown="0">
  <autoFilter ref="D86:G98" xr:uid="{2D8AF116-8C65-460F-B232-25675ED3CEF2}"/>
  <tableColumns count="4">
    <tableColumn id="1" xr3:uid="{61382201-9403-49E8-8122-513CEDEFF875}" name="LLM"/>
    <tableColumn id="2" xr3:uid="{F3365D47-C49F-443D-93E9-07C28E79D2A1}" name="Score">
      <calculatedColumnFormula>SUM(E2:Z2)+SUM(E16:Z16)+SUM(E30:Z30)+SUM(E44:Z44)+SUM(E58:Z58)+SUM(E72:Z72)</calculatedColumnFormula>
    </tableColumn>
    <tableColumn id="3" xr3:uid="{09071895-9487-4E75-BEAA-348727B82CA7}" name="Cost (USD)" dataDxfId="0" dataCellStyle="Currency"/>
    <tableColumn id="4" xr3:uid="{406643F3-5471-4257-A413-9AB7F0A2A245}" name="Cost (LKR)" dataCellStyle="Comma">
      <calculatedColumnFormula array="1">Table1[[#This Row],[Cost (USD)]]*_FV($I$94,"Price")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508BA-720C-4D63-9631-0B46A1BA1653}">
  <dimension ref="A1:M98"/>
  <sheetViews>
    <sheetView tabSelected="1" topLeftCell="A76" workbookViewId="0">
      <selection activeCell="H90" sqref="H90"/>
    </sheetView>
  </sheetViews>
  <sheetFormatPr defaultRowHeight="14.4" x14ac:dyDescent="0.3"/>
  <cols>
    <col min="1" max="1" width="40.77734375" customWidth="1"/>
    <col min="2" max="2" width="25.77734375" customWidth="1"/>
    <col min="3" max="3" width="5.77734375" customWidth="1"/>
    <col min="4" max="4" width="16.109375" bestFit="1" customWidth="1"/>
    <col min="6" max="6" width="12.21875" bestFit="1" customWidth="1"/>
    <col min="7" max="7" width="11.44140625" customWidth="1"/>
  </cols>
  <sheetData>
    <row r="1" spans="1:4" s="2" customFormat="1" ht="15" customHeight="1" x14ac:dyDescent="0.3">
      <c r="A1" s="10" t="s">
        <v>18</v>
      </c>
      <c r="B1" s="6" t="e" vm="1">
        <v>#VALUE!</v>
      </c>
      <c r="C1"/>
      <c r="D1" s="3"/>
    </row>
    <row r="2" spans="1:4" s="1" customFormat="1" ht="15" customHeight="1" x14ac:dyDescent="0.3">
      <c r="A2" s="8" t="s">
        <v>12</v>
      </c>
      <c r="B2" s="5"/>
      <c r="C2"/>
      <c r="D2" s="2" t="s">
        <v>0</v>
      </c>
    </row>
    <row r="3" spans="1:4" s="1" customFormat="1" ht="15" customHeight="1" x14ac:dyDescent="0.3">
      <c r="A3" s="8"/>
      <c r="B3" s="5"/>
      <c r="C3"/>
      <c r="D3" s="2" t="s">
        <v>1</v>
      </c>
    </row>
    <row r="4" spans="1:4" s="1" customFormat="1" ht="15" customHeight="1" x14ac:dyDescent="0.3">
      <c r="A4" s="8"/>
      <c r="B4" s="5"/>
      <c r="C4"/>
      <c r="D4" s="2" t="s">
        <v>2</v>
      </c>
    </row>
    <row r="5" spans="1:4" s="1" customFormat="1" ht="15" customHeight="1" x14ac:dyDescent="0.3">
      <c r="A5" s="8"/>
      <c r="B5" s="5"/>
      <c r="C5"/>
      <c r="D5" s="2" t="s">
        <v>3</v>
      </c>
    </row>
    <row r="6" spans="1:4" s="1" customFormat="1" ht="15" customHeight="1" x14ac:dyDescent="0.3">
      <c r="A6" s="8"/>
      <c r="B6" s="5"/>
      <c r="C6"/>
      <c r="D6" s="2" t="s">
        <v>4</v>
      </c>
    </row>
    <row r="7" spans="1:4" s="1" customFormat="1" ht="15" customHeight="1" x14ac:dyDescent="0.3">
      <c r="A7" s="8"/>
      <c r="B7" s="5"/>
      <c r="C7"/>
      <c r="D7" s="2" t="s">
        <v>5</v>
      </c>
    </row>
    <row r="8" spans="1:4" s="1" customFormat="1" ht="15" customHeight="1" x14ac:dyDescent="0.3">
      <c r="A8" s="8"/>
      <c r="B8" s="5"/>
      <c r="C8"/>
      <c r="D8" s="2" t="s">
        <v>6</v>
      </c>
    </row>
    <row r="9" spans="1:4" s="1" customFormat="1" ht="15" customHeight="1" x14ac:dyDescent="0.3">
      <c r="A9" s="8"/>
      <c r="B9" s="5"/>
      <c r="C9"/>
      <c r="D9" s="2" t="s">
        <v>6</v>
      </c>
    </row>
    <row r="10" spans="1:4" s="1" customFormat="1" ht="15" customHeight="1" x14ac:dyDescent="0.3">
      <c r="A10" s="8"/>
      <c r="B10" s="5"/>
      <c r="C10"/>
      <c r="D10" s="2" t="s">
        <v>8</v>
      </c>
    </row>
    <row r="11" spans="1:4" s="1" customFormat="1" ht="15" customHeight="1" x14ac:dyDescent="0.3">
      <c r="A11" s="8"/>
      <c r="B11" s="5"/>
      <c r="C11"/>
      <c r="D11" s="2" t="s">
        <v>9</v>
      </c>
    </row>
    <row r="12" spans="1:4" s="1" customFormat="1" ht="15" customHeight="1" x14ac:dyDescent="0.3">
      <c r="A12" s="8"/>
      <c r="B12" s="5"/>
      <c r="C12"/>
      <c r="D12" s="2" t="s">
        <v>10</v>
      </c>
    </row>
    <row r="13" spans="1:4" s="1" customFormat="1" ht="15" customHeight="1" x14ac:dyDescent="0.3">
      <c r="A13" s="9"/>
      <c r="B13" s="7"/>
      <c r="C13"/>
      <c r="D13" s="2" t="s">
        <v>11</v>
      </c>
    </row>
    <row r="14" spans="1:4" ht="15" customHeight="1" x14ac:dyDescent="0.3">
      <c r="A14" s="4"/>
      <c r="B14" s="4"/>
    </row>
    <row r="15" spans="1:4" s="2" customFormat="1" ht="15" customHeight="1" x14ac:dyDescent="0.3">
      <c r="A15" s="10" t="s">
        <v>19</v>
      </c>
      <c r="B15" s="6" t="e" vm="2">
        <v>#VALUE!</v>
      </c>
      <c r="C15"/>
      <c r="D15" s="3"/>
    </row>
    <row r="16" spans="1:4" s="1" customFormat="1" ht="15" customHeight="1" x14ac:dyDescent="0.3">
      <c r="A16" s="8" t="s">
        <v>13</v>
      </c>
      <c r="B16" s="5"/>
      <c r="C16"/>
      <c r="D16" s="2" t="s">
        <v>0</v>
      </c>
    </row>
    <row r="17" spans="1:4" s="1" customFormat="1" ht="15" customHeight="1" x14ac:dyDescent="0.3">
      <c r="A17" s="8"/>
      <c r="B17" s="5"/>
      <c r="C17"/>
      <c r="D17" s="2" t="s">
        <v>1</v>
      </c>
    </row>
    <row r="18" spans="1:4" s="1" customFormat="1" ht="15" customHeight="1" x14ac:dyDescent="0.3">
      <c r="A18" s="8"/>
      <c r="B18" s="5"/>
      <c r="C18"/>
      <c r="D18" s="2" t="s">
        <v>2</v>
      </c>
    </row>
    <row r="19" spans="1:4" s="1" customFormat="1" ht="15" customHeight="1" x14ac:dyDescent="0.3">
      <c r="A19" s="8"/>
      <c r="B19" s="5"/>
      <c r="C19"/>
      <c r="D19" s="2" t="s">
        <v>3</v>
      </c>
    </row>
    <row r="20" spans="1:4" s="1" customFormat="1" ht="15" customHeight="1" x14ac:dyDescent="0.3">
      <c r="A20" s="8"/>
      <c r="B20" s="5"/>
      <c r="C20"/>
      <c r="D20" s="2" t="s">
        <v>4</v>
      </c>
    </row>
    <row r="21" spans="1:4" s="1" customFormat="1" ht="15" customHeight="1" x14ac:dyDescent="0.3">
      <c r="A21" s="8"/>
      <c r="B21" s="5"/>
      <c r="C21"/>
      <c r="D21" s="2" t="s">
        <v>5</v>
      </c>
    </row>
    <row r="22" spans="1:4" s="1" customFormat="1" ht="15" customHeight="1" x14ac:dyDescent="0.3">
      <c r="A22" s="8"/>
      <c r="B22" s="5"/>
      <c r="C22"/>
      <c r="D22" s="2" t="s">
        <v>6</v>
      </c>
    </row>
    <row r="23" spans="1:4" s="1" customFormat="1" ht="15" customHeight="1" x14ac:dyDescent="0.3">
      <c r="A23" s="8"/>
      <c r="B23" s="5"/>
      <c r="C23"/>
      <c r="D23" s="2" t="s">
        <v>7</v>
      </c>
    </row>
    <row r="24" spans="1:4" s="1" customFormat="1" ht="15" customHeight="1" x14ac:dyDescent="0.3">
      <c r="A24" s="8"/>
      <c r="B24" s="5"/>
      <c r="C24"/>
      <c r="D24" s="2" t="s">
        <v>8</v>
      </c>
    </row>
    <row r="25" spans="1:4" s="1" customFormat="1" ht="15" customHeight="1" x14ac:dyDescent="0.3">
      <c r="A25" s="8"/>
      <c r="B25" s="5"/>
      <c r="C25"/>
      <c r="D25" s="2" t="s">
        <v>9</v>
      </c>
    </row>
    <row r="26" spans="1:4" s="1" customFormat="1" ht="15" customHeight="1" x14ac:dyDescent="0.3">
      <c r="A26" s="8"/>
      <c r="B26" s="5"/>
      <c r="C26"/>
      <c r="D26" s="2" t="s">
        <v>10</v>
      </c>
    </row>
    <row r="27" spans="1:4" s="1" customFormat="1" ht="15" customHeight="1" x14ac:dyDescent="0.3">
      <c r="A27" s="9"/>
      <c r="B27" s="7"/>
      <c r="C27"/>
      <c r="D27" s="2" t="s">
        <v>11</v>
      </c>
    </row>
    <row r="28" spans="1:4" ht="15" customHeight="1" x14ac:dyDescent="0.3">
      <c r="A28" s="4"/>
      <c r="B28" s="4"/>
    </row>
    <row r="29" spans="1:4" s="2" customFormat="1" ht="15" customHeight="1" x14ac:dyDescent="0.3">
      <c r="A29" s="10" t="s">
        <v>20</v>
      </c>
      <c r="B29" s="6" t="e" vm="3">
        <v>#VALUE!</v>
      </c>
      <c r="C29"/>
      <c r="D29" s="3"/>
    </row>
    <row r="30" spans="1:4" s="1" customFormat="1" ht="15" customHeight="1" x14ac:dyDescent="0.3">
      <c r="A30" s="8" t="s">
        <v>14</v>
      </c>
      <c r="B30" s="5"/>
      <c r="C30"/>
      <c r="D30" s="2" t="s">
        <v>0</v>
      </c>
    </row>
    <row r="31" spans="1:4" s="1" customFormat="1" ht="15" customHeight="1" x14ac:dyDescent="0.3">
      <c r="A31" s="8"/>
      <c r="B31" s="5"/>
      <c r="C31"/>
      <c r="D31" s="2" t="s">
        <v>1</v>
      </c>
    </row>
    <row r="32" spans="1:4" s="1" customFormat="1" ht="15" customHeight="1" x14ac:dyDescent="0.3">
      <c r="A32" s="8"/>
      <c r="B32" s="5"/>
      <c r="C32"/>
      <c r="D32" s="2" t="s">
        <v>2</v>
      </c>
    </row>
    <row r="33" spans="1:4" s="1" customFormat="1" ht="15" customHeight="1" x14ac:dyDescent="0.3">
      <c r="A33" s="8"/>
      <c r="B33" s="5"/>
      <c r="C33"/>
      <c r="D33" s="2" t="s">
        <v>3</v>
      </c>
    </row>
    <row r="34" spans="1:4" s="1" customFormat="1" ht="15" customHeight="1" x14ac:dyDescent="0.3">
      <c r="A34" s="8"/>
      <c r="B34" s="5"/>
      <c r="C34"/>
      <c r="D34" s="2" t="s">
        <v>4</v>
      </c>
    </row>
    <row r="35" spans="1:4" s="1" customFormat="1" ht="15" customHeight="1" x14ac:dyDescent="0.3">
      <c r="A35" s="8"/>
      <c r="B35" s="5"/>
      <c r="C35"/>
      <c r="D35" s="2" t="s">
        <v>5</v>
      </c>
    </row>
    <row r="36" spans="1:4" s="1" customFormat="1" ht="15" customHeight="1" x14ac:dyDescent="0.3">
      <c r="A36" s="8"/>
      <c r="B36" s="5"/>
      <c r="C36"/>
      <c r="D36" s="2" t="s">
        <v>6</v>
      </c>
    </row>
    <row r="37" spans="1:4" s="1" customFormat="1" ht="15" customHeight="1" x14ac:dyDescent="0.3">
      <c r="A37" s="8"/>
      <c r="B37" s="5"/>
      <c r="C37"/>
      <c r="D37" s="2" t="s">
        <v>7</v>
      </c>
    </row>
    <row r="38" spans="1:4" s="1" customFormat="1" ht="15" customHeight="1" x14ac:dyDescent="0.3">
      <c r="A38" s="8"/>
      <c r="B38" s="5"/>
      <c r="C38"/>
      <c r="D38" s="2" t="s">
        <v>8</v>
      </c>
    </row>
    <row r="39" spans="1:4" s="1" customFormat="1" ht="15" customHeight="1" x14ac:dyDescent="0.3">
      <c r="A39" s="8"/>
      <c r="B39" s="5"/>
      <c r="C39"/>
      <c r="D39" s="2" t="s">
        <v>9</v>
      </c>
    </row>
    <row r="40" spans="1:4" s="1" customFormat="1" ht="15" customHeight="1" x14ac:dyDescent="0.3">
      <c r="A40" s="8"/>
      <c r="B40" s="5"/>
      <c r="C40"/>
      <c r="D40" s="2" t="s">
        <v>10</v>
      </c>
    </row>
    <row r="41" spans="1:4" s="1" customFormat="1" ht="15" customHeight="1" x14ac:dyDescent="0.3">
      <c r="A41" s="9"/>
      <c r="B41" s="7"/>
      <c r="C41"/>
      <c r="D41" s="2" t="s">
        <v>11</v>
      </c>
    </row>
    <row r="42" spans="1:4" ht="15" customHeight="1" x14ac:dyDescent="0.3">
      <c r="A42" s="4"/>
      <c r="B42" s="4"/>
    </row>
    <row r="43" spans="1:4" s="2" customFormat="1" ht="15" customHeight="1" x14ac:dyDescent="0.3">
      <c r="A43" s="10" t="s">
        <v>21</v>
      </c>
      <c r="B43" s="6" t="e" vm="4">
        <v>#VALUE!</v>
      </c>
      <c r="C43"/>
      <c r="D43" s="3"/>
    </row>
    <row r="44" spans="1:4" s="1" customFormat="1" ht="15" customHeight="1" x14ac:dyDescent="0.3">
      <c r="A44" s="8" t="s">
        <v>15</v>
      </c>
      <c r="B44" s="5"/>
      <c r="C44"/>
      <c r="D44" s="2" t="s">
        <v>0</v>
      </c>
    </row>
    <row r="45" spans="1:4" s="1" customFormat="1" ht="15" customHeight="1" x14ac:dyDescent="0.3">
      <c r="A45" s="8"/>
      <c r="B45" s="5"/>
      <c r="C45"/>
      <c r="D45" s="2" t="s">
        <v>1</v>
      </c>
    </row>
    <row r="46" spans="1:4" s="1" customFormat="1" ht="15" customHeight="1" x14ac:dyDescent="0.3">
      <c r="A46" s="8"/>
      <c r="B46" s="5"/>
      <c r="C46"/>
      <c r="D46" s="2" t="s">
        <v>2</v>
      </c>
    </row>
    <row r="47" spans="1:4" s="1" customFormat="1" ht="15" customHeight="1" x14ac:dyDescent="0.3">
      <c r="A47" s="8"/>
      <c r="B47" s="5"/>
      <c r="C47"/>
      <c r="D47" s="2" t="s">
        <v>3</v>
      </c>
    </row>
    <row r="48" spans="1:4" s="1" customFormat="1" ht="15" customHeight="1" x14ac:dyDescent="0.3">
      <c r="A48" s="8"/>
      <c r="B48" s="5"/>
      <c r="C48"/>
      <c r="D48" s="2" t="s">
        <v>4</v>
      </c>
    </row>
    <row r="49" spans="1:4" s="1" customFormat="1" ht="15" customHeight="1" x14ac:dyDescent="0.3">
      <c r="A49" s="8"/>
      <c r="B49" s="5"/>
      <c r="C49"/>
      <c r="D49" s="2" t="s">
        <v>5</v>
      </c>
    </row>
    <row r="50" spans="1:4" s="1" customFormat="1" ht="15" customHeight="1" x14ac:dyDescent="0.3">
      <c r="A50" s="8"/>
      <c r="B50" s="5"/>
      <c r="C50"/>
      <c r="D50" s="2" t="s">
        <v>6</v>
      </c>
    </row>
    <row r="51" spans="1:4" s="1" customFormat="1" ht="15" customHeight="1" x14ac:dyDescent="0.3">
      <c r="A51" s="8"/>
      <c r="B51" s="5"/>
      <c r="C51"/>
      <c r="D51" s="2" t="s">
        <v>7</v>
      </c>
    </row>
    <row r="52" spans="1:4" s="1" customFormat="1" ht="15" customHeight="1" x14ac:dyDescent="0.3">
      <c r="A52" s="8"/>
      <c r="B52" s="5"/>
      <c r="C52"/>
      <c r="D52" s="2" t="s">
        <v>8</v>
      </c>
    </row>
    <row r="53" spans="1:4" s="1" customFormat="1" ht="15" customHeight="1" x14ac:dyDescent="0.3">
      <c r="A53" s="8"/>
      <c r="B53" s="5"/>
      <c r="C53"/>
      <c r="D53" s="2" t="s">
        <v>9</v>
      </c>
    </row>
    <row r="54" spans="1:4" s="1" customFormat="1" ht="15" customHeight="1" x14ac:dyDescent="0.3">
      <c r="A54" s="8"/>
      <c r="B54" s="5"/>
      <c r="C54"/>
      <c r="D54" s="2" t="s">
        <v>10</v>
      </c>
    </row>
    <row r="55" spans="1:4" s="1" customFormat="1" ht="15" customHeight="1" x14ac:dyDescent="0.3">
      <c r="A55" s="9"/>
      <c r="B55" s="7"/>
      <c r="C55"/>
      <c r="D55" s="2" t="s">
        <v>11</v>
      </c>
    </row>
    <row r="56" spans="1:4" ht="15" customHeight="1" x14ac:dyDescent="0.3">
      <c r="A56" s="4"/>
      <c r="B56" s="4"/>
    </row>
    <row r="57" spans="1:4" s="2" customFormat="1" ht="15" customHeight="1" x14ac:dyDescent="0.3">
      <c r="A57" s="10" t="s">
        <v>22</v>
      </c>
      <c r="B57" s="6" t="e" vm="5">
        <v>#VALUE!</v>
      </c>
      <c r="C57"/>
      <c r="D57" s="3"/>
    </row>
    <row r="58" spans="1:4" s="1" customFormat="1" ht="15" customHeight="1" x14ac:dyDescent="0.3">
      <c r="A58" s="8" t="s">
        <v>16</v>
      </c>
      <c r="B58" s="5"/>
      <c r="C58"/>
      <c r="D58" s="2" t="s">
        <v>0</v>
      </c>
    </row>
    <row r="59" spans="1:4" s="1" customFormat="1" ht="15" customHeight="1" x14ac:dyDescent="0.3">
      <c r="A59" s="8"/>
      <c r="B59" s="5"/>
      <c r="C59"/>
      <c r="D59" s="2" t="s">
        <v>1</v>
      </c>
    </row>
    <row r="60" spans="1:4" s="1" customFormat="1" ht="15" customHeight="1" x14ac:dyDescent="0.3">
      <c r="A60" s="8"/>
      <c r="B60" s="5"/>
      <c r="C60"/>
      <c r="D60" s="2" t="s">
        <v>2</v>
      </c>
    </row>
    <row r="61" spans="1:4" s="1" customFormat="1" ht="15" customHeight="1" x14ac:dyDescent="0.3">
      <c r="A61" s="8"/>
      <c r="B61" s="5"/>
      <c r="C61"/>
      <c r="D61" s="2" t="s">
        <v>3</v>
      </c>
    </row>
    <row r="62" spans="1:4" s="1" customFormat="1" ht="15" customHeight="1" x14ac:dyDescent="0.3">
      <c r="A62" s="8"/>
      <c r="B62" s="5"/>
      <c r="C62"/>
      <c r="D62" s="2" t="s">
        <v>4</v>
      </c>
    </row>
    <row r="63" spans="1:4" s="1" customFormat="1" ht="15" customHeight="1" x14ac:dyDescent="0.3">
      <c r="A63" s="8"/>
      <c r="B63" s="5"/>
      <c r="C63"/>
      <c r="D63" s="2" t="s">
        <v>5</v>
      </c>
    </row>
    <row r="64" spans="1:4" s="1" customFormat="1" ht="15" customHeight="1" x14ac:dyDescent="0.3">
      <c r="A64" s="8"/>
      <c r="B64" s="5"/>
      <c r="C64"/>
      <c r="D64" s="2" t="s">
        <v>6</v>
      </c>
    </row>
    <row r="65" spans="1:4" s="1" customFormat="1" ht="15" customHeight="1" x14ac:dyDescent="0.3">
      <c r="A65" s="8"/>
      <c r="B65" s="5"/>
      <c r="C65"/>
      <c r="D65" s="2" t="s">
        <v>7</v>
      </c>
    </row>
    <row r="66" spans="1:4" s="1" customFormat="1" ht="15" customHeight="1" x14ac:dyDescent="0.3">
      <c r="A66" s="8"/>
      <c r="B66" s="5"/>
      <c r="C66"/>
      <c r="D66" s="2" t="s">
        <v>8</v>
      </c>
    </row>
    <row r="67" spans="1:4" s="1" customFormat="1" ht="15" customHeight="1" x14ac:dyDescent="0.3">
      <c r="A67" s="8"/>
      <c r="B67" s="5"/>
      <c r="C67"/>
      <c r="D67" s="2" t="s">
        <v>9</v>
      </c>
    </row>
    <row r="68" spans="1:4" s="1" customFormat="1" ht="15" customHeight="1" x14ac:dyDescent="0.3">
      <c r="A68" s="8"/>
      <c r="B68" s="5"/>
      <c r="C68"/>
      <c r="D68" s="2" t="s">
        <v>10</v>
      </c>
    </row>
    <row r="69" spans="1:4" s="1" customFormat="1" ht="15" customHeight="1" x14ac:dyDescent="0.3">
      <c r="A69" s="9"/>
      <c r="B69" s="7"/>
      <c r="C69"/>
      <c r="D69" s="2" t="s">
        <v>11</v>
      </c>
    </row>
    <row r="70" spans="1:4" ht="15" customHeight="1" x14ac:dyDescent="0.3">
      <c r="A70" s="4"/>
      <c r="B70" s="4"/>
    </row>
    <row r="71" spans="1:4" s="2" customFormat="1" ht="15" customHeight="1" x14ac:dyDescent="0.3">
      <c r="A71" s="10" t="s">
        <v>23</v>
      </c>
      <c r="B71" s="6" t="e" vm="6">
        <v>#VALUE!</v>
      </c>
      <c r="C71"/>
      <c r="D71" s="3"/>
    </row>
    <row r="72" spans="1:4" s="1" customFormat="1" ht="15" customHeight="1" x14ac:dyDescent="0.3">
      <c r="A72" s="8" t="s">
        <v>17</v>
      </c>
      <c r="B72" s="5"/>
      <c r="C72"/>
      <c r="D72" s="2" t="s">
        <v>0</v>
      </c>
    </row>
    <row r="73" spans="1:4" s="1" customFormat="1" ht="15" customHeight="1" x14ac:dyDescent="0.3">
      <c r="A73" s="8"/>
      <c r="B73" s="5"/>
      <c r="C73"/>
      <c r="D73" s="2" t="s">
        <v>1</v>
      </c>
    </row>
    <row r="74" spans="1:4" s="1" customFormat="1" ht="15" customHeight="1" x14ac:dyDescent="0.3">
      <c r="A74" s="8"/>
      <c r="B74" s="5"/>
      <c r="C74"/>
      <c r="D74" s="2" t="s">
        <v>2</v>
      </c>
    </row>
    <row r="75" spans="1:4" s="1" customFormat="1" ht="15" customHeight="1" x14ac:dyDescent="0.3">
      <c r="A75" s="8"/>
      <c r="B75" s="5"/>
      <c r="C75"/>
      <c r="D75" s="2" t="s">
        <v>3</v>
      </c>
    </row>
    <row r="76" spans="1:4" s="1" customFormat="1" ht="15" customHeight="1" x14ac:dyDescent="0.3">
      <c r="A76" s="8"/>
      <c r="B76" s="5"/>
      <c r="C76"/>
      <c r="D76" s="2" t="s">
        <v>4</v>
      </c>
    </row>
    <row r="77" spans="1:4" s="1" customFormat="1" ht="15" customHeight="1" x14ac:dyDescent="0.3">
      <c r="A77" s="8"/>
      <c r="B77" s="5"/>
      <c r="C77"/>
      <c r="D77" s="2" t="s">
        <v>5</v>
      </c>
    </row>
    <row r="78" spans="1:4" s="1" customFormat="1" ht="15" customHeight="1" x14ac:dyDescent="0.3">
      <c r="A78" s="8"/>
      <c r="B78" s="5"/>
      <c r="C78"/>
      <c r="D78" s="2" t="s">
        <v>6</v>
      </c>
    </row>
    <row r="79" spans="1:4" s="1" customFormat="1" ht="15" customHeight="1" x14ac:dyDescent="0.3">
      <c r="A79" s="8"/>
      <c r="B79" s="5"/>
      <c r="C79"/>
      <c r="D79" s="2" t="s">
        <v>7</v>
      </c>
    </row>
    <row r="80" spans="1:4" s="1" customFormat="1" ht="15" customHeight="1" x14ac:dyDescent="0.3">
      <c r="A80" s="8"/>
      <c r="B80" s="5"/>
      <c r="C80"/>
      <c r="D80" s="2" t="s">
        <v>8</v>
      </c>
    </row>
    <row r="81" spans="1:13" s="1" customFormat="1" ht="15" customHeight="1" x14ac:dyDescent="0.3">
      <c r="A81" s="8"/>
      <c r="B81" s="5"/>
      <c r="C81"/>
      <c r="D81" s="2" t="s">
        <v>9</v>
      </c>
    </row>
    <row r="82" spans="1:13" s="1" customFormat="1" ht="15" customHeight="1" x14ac:dyDescent="0.3">
      <c r="A82" s="8"/>
      <c r="B82" s="5"/>
      <c r="C82"/>
      <c r="D82" s="2" t="s">
        <v>10</v>
      </c>
    </row>
    <row r="83" spans="1:13" s="1" customFormat="1" ht="15" customHeight="1" x14ac:dyDescent="0.3">
      <c r="A83" s="9"/>
      <c r="B83" s="7"/>
      <c r="C83"/>
      <c r="D83" s="2" t="s">
        <v>11</v>
      </c>
    </row>
    <row r="84" spans="1:13" ht="15" customHeight="1" x14ac:dyDescent="0.3">
      <c r="A84" s="4"/>
      <c r="B84" s="4"/>
    </row>
    <row r="85" spans="1:13" ht="15" customHeight="1" x14ac:dyDescent="0.3"/>
    <row r="86" spans="1:13" ht="15" customHeight="1" x14ac:dyDescent="0.3">
      <c r="D86" t="s">
        <v>24</v>
      </c>
      <c r="E86" t="s">
        <v>25</v>
      </c>
      <c r="F86" t="s">
        <v>26</v>
      </c>
      <c r="G86" t="s">
        <v>27</v>
      </c>
    </row>
    <row r="87" spans="1:13" ht="15" customHeight="1" x14ac:dyDescent="0.3">
      <c r="D87" t="s">
        <v>0</v>
      </c>
      <c r="E87">
        <f>SUM(E2:Z2)+SUM(E16:Z16)+SUM(E30:Z30)+SUM(E44:Z44)+SUM(E58:Z58)+SUM(E72:Z72)</f>
        <v>0</v>
      </c>
      <c r="F87" s="11">
        <v>0</v>
      </c>
      <c r="G87" s="12" cm="1">
        <f t="array" aca="1" ref="G87" ca="1">Table1[[#This Row],[Cost (USD)]]*_FV($I$94,"Price")</f>
        <v>0</v>
      </c>
      <c r="I87" s="20">
        <v>1</v>
      </c>
      <c r="J87" s="14" t="s">
        <v>28</v>
      </c>
      <c r="K87" s="14"/>
      <c r="L87" s="14"/>
      <c r="M87" s="14"/>
    </row>
    <row r="88" spans="1:13" ht="15" customHeight="1" x14ac:dyDescent="0.3">
      <c r="D88" t="s">
        <v>1</v>
      </c>
      <c r="E88">
        <f t="shared" ref="E88:E98" si="0">SUM(E3:Z3)+SUM(E17:Z17)+SUM(E31:Z31)+SUM(E45:Z45)+SUM(E59:Z59)+SUM(E73:Z73)</f>
        <v>0</v>
      </c>
      <c r="F88" s="11">
        <v>0</v>
      </c>
      <c r="G88" s="12" cm="1">
        <f t="array" aca="1" ref="G88" ca="1">Table1[[#This Row],[Cost (USD)]]*_FV($I$94,"Price")</f>
        <v>0</v>
      </c>
      <c r="I88" s="13">
        <v>0.5</v>
      </c>
      <c r="J88" s="14" t="s">
        <v>32</v>
      </c>
      <c r="K88" s="14"/>
      <c r="L88" s="14"/>
      <c r="M88" s="14"/>
    </row>
    <row r="89" spans="1:13" ht="15" customHeight="1" x14ac:dyDescent="0.3">
      <c r="D89" t="s">
        <v>2</v>
      </c>
      <c r="E89">
        <f t="shared" si="0"/>
        <v>0</v>
      </c>
      <c r="F89" s="11">
        <v>0</v>
      </c>
      <c r="G89" s="12" cm="1">
        <f t="array" aca="1" ref="G89" ca="1">Table1[[#This Row],[Cost (USD)]]*_FV($I$94,"Price")</f>
        <v>0</v>
      </c>
      <c r="I89" s="15">
        <v>0.5</v>
      </c>
      <c r="J89" s="14" t="s">
        <v>29</v>
      </c>
      <c r="K89" s="14"/>
      <c r="L89" s="14"/>
      <c r="M89" s="14"/>
    </row>
    <row r="90" spans="1:13" ht="15" customHeight="1" x14ac:dyDescent="0.3">
      <c r="D90" t="s">
        <v>3</v>
      </c>
      <c r="E90">
        <f t="shared" si="0"/>
        <v>0</v>
      </c>
      <c r="F90" s="11">
        <v>0</v>
      </c>
      <c r="G90" s="12" cm="1">
        <f t="array" aca="1" ref="G90" ca="1">Table1[[#This Row],[Cost (USD)]]*_FV($I$94,"Price")</f>
        <v>0</v>
      </c>
      <c r="I90" s="16">
        <v>-0.5</v>
      </c>
      <c r="J90" s="14" t="s">
        <v>33</v>
      </c>
      <c r="K90" s="14"/>
      <c r="L90" s="14"/>
      <c r="M90" s="14"/>
    </row>
    <row r="91" spans="1:13" ht="15" customHeight="1" x14ac:dyDescent="0.3">
      <c r="D91" t="s">
        <v>4</v>
      </c>
      <c r="E91">
        <f t="shared" si="0"/>
        <v>0</v>
      </c>
      <c r="F91" s="11">
        <v>0</v>
      </c>
      <c r="G91" s="12" cm="1">
        <f t="array" aca="1" ref="G91" ca="1">Table1[[#This Row],[Cost (USD)]]*_FV($I$94,"Price")</f>
        <v>0</v>
      </c>
      <c r="I91" s="17">
        <v>-0.5</v>
      </c>
      <c r="J91" s="14" t="s">
        <v>30</v>
      </c>
      <c r="K91" s="14"/>
      <c r="L91" s="14"/>
      <c r="M91" s="14"/>
    </row>
    <row r="92" spans="1:13" ht="15" customHeight="1" x14ac:dyDescent="0.3">
      <c r="D92" t="s">
        <v>5</v>
      </c>
      <c r="E92">
        <f t="shared" si="0"/>
        <v>0</v>
      </c>
      <c r="F92" s="11">
        <v>0</v>
      </c>
      <c r="G92" s="12" cm="1">
        <f t="array" aca="1" ref="G92" ca="1">Table1[[#This Row],[Cost (USD)]]*_FV($I$94,"Price")</f>
        <v>0</v>
      </c>
      <c r="I92" s="18">
        <v>-1</v>
      </c>
      <c r="J92" s="14" t="s">
        <v>31</v>
      </c>
      <c r="K92" s="14"/>
      <c r="L92" s="14"/>
      <c r="M92" s="14"/>
    </row>
    <row r="93" spans="1:13" ht="15" customHeight="1" x14ac:dyDescent="0.3">
      <c r="D93" t="s">
        <v>6</v>
      </c>
      <c r="E93">
        <f t="shared" si="0"/>
        <v>0</v>
      </c>
      <c r="F93" s="11">
        <v>0</v>
      </c>
      <c r="G93" s="12" cm="1">
        <f t="array" aca="1" ref="G93" ca="1">Table1[[#This Row],[Cost (USD)]]*_FV($I$94,"Price")</f>
        <v>0</v>
      </c>
    </row>
    <row r="94" spans="1:13" ht="15" customHeight="1" x14ac:dyDescent="0.3">
      <c r="D94" t="s">
        <v>7</v>
      </c>
      <c r="E94">
        <f t="shared" si="0"/>
        <v>0</v>
      </c>
      <c r="F94" s="11">
        <v>0</v>
      </c>
      <c r="G94" s="12" cm="1">
        <f t="array" aca="1" ref="G94" ca="1">Table1[[#This Row],[Cost (USD)]]*_FV($I$94,"Price")</f>
        <v>0</v>
      </c>
      <c r="I94" s="19" t="e" vm="7">
        <v>#VALUE!</v>
      </c>
    </row>
    <row r="95" spans="1:13" ht="15" customHeight="1" x14ac:dyDescent="0.3">
      <c r="D95" t="s">
        <v>8</v>
      </c>
      <c r="E95">
        <f t="shared" si="0"/>
        <v>0</v>
      </c>
      <c r="F95" s="11">
        <v>0</v>
      </c>
      <c r="G95" s="12" cm="1">
        <f t="array" aca="1" ref="G95" ca="1">Table1[[#This Row],[Cost (USD)]]*_FV($I$94,"Price")</f>
        <v>0</v>
      </c>
    </row>
    <row r="96" spans="1:13" ht="15" customHeight="1" x14ac:dyDescent="0.3">
      <c r="D96" t="s">
        <v>9</v>
      </c>
      <c r="E96">
        <f t="shared" si="0"/>
        <v>0</v>
      </c>
      <c r="F96" s="11">
        <v>0</v>
      </c>
      <c r="G96" s="12" cm="1">
        <f t="array" aca="1" ref="G96" ca="1">Table1[[#This Row],[Cost (USD)]]*_FV($I$94,"Price")</f>
        <v>0</v>
      </c>
    </row>
    <row r="97" spans="4:7" ht="15" customHeight="1" x14ac:dyDescent="0.3">
      <c r="D97" t="s">
        <v>10</v>
      </c>
      <c r="E97">
        <f t="shared" si="0"/>
        <v>0</v>
      </c>
      <c r="F97" s="11">
        <v>0</v>
      </c>
      <c r="G97" s="12" cm="1">
        <f t="array" aca="1" ref="G97" ca="1">Table1[[#This Row],[Cost (USD)]]*_FV($I$94,"Price")</f>
        <v>0</v>
      </c>
    </row>
    <row r="98" spans="4:7" ht="15" customHeight="1" x14ac:dyDescent="0.3">
      <c r="D98" t="s">
        <v>11</v>
      </c>
      <c r="E98">
        <f t="shared" si="0"/>
        <v>0</v>
      </c>
      <c r="F98" s="11">
        <v>0</v>
      </c>
      <c r="G98" s="12" cm="1">
        <f t="array" aca="1" ref="G98" ca="1">Table1[[#This Row],[Cost (USD)]]*_FV($I$94,"Price")</f>
        <v>0</v>
      </c>
    </row>
  </sheetData>
  <mergeCells count="18">
    <mergeCell ref="J87:M87"/>
    <mergeCell ref="J88:M88"/>
    <mergeCell ref="J89:M89"/>
    <mergeCell ref="J90:M90"/>
    <mergeCell ref="J91:M91"/>
    <mergeCell ref="J92:M92"/>
    <mergeCell ref="A2:A13"/>
    <mergeCell ref="A16:A27"/>
    <mergeCell ref="A30:A41"/>
    <mergeCell ref="A44:A55"/>
    <mergeCell ref="A58:A69"/>
    <mergeCell ref="A72:A83"/>
    <mergeCell ref="B1:B13"/>
    <mergeCell ref="B15:B27"/>
    <mergeCell ref="B29:B41"/>
    <mergeCell ref="B43:B55"/>
    <mergeCell ref="B57:B69"/>
    <mergeCell ref="B71:B83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Benchmark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Amrith Perera</dc:creator>
  <cp:lastModifiedBy>Amrith Perera</cp:lastModifiedBy>
  <dcterms:created xsi:type="dcterms:W3CDTF">2025-12-27T09:29:15Z</dcterms:created>
  <dcterms:modified xsi:type="dcterms:W3CDTF">2025-12-27T10:18:55Z</dcterms:modified>
</cp:coreProperties>
</file>